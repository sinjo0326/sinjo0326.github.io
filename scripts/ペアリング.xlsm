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samu\OneDrive\ドキュメント\"/>
    </mc:Choice>
  </mc:AlternateContent>
  <xr:revisionPtr revIDLastSave="0" documentId="13_ncr:1_{0EE31EEA-2A34-47EB-9509-F57DCF7B0C59}" xr6:coauthVersionLast="43" xr6:coauthVersionMax="43" xr10:uidLastSave="{00000000-0000-0000-0000-000000000000}"/>
  <bookViews>
    <workbookView xWindow="-98" yWindow="-98" windowWidth="20715" windowHeight="13276" firstSheet="4" activeTab="5" xr2:uid="{00000000-000D-0000-FFFF-FFFF00000000}"/>
  </bookViews>
  <sheets>
    <sheet name="隠しフォーマット" sheetId="10" state="hidden" r:id="rId1"/>
    <sheet name="隠しシート" sheetId="11" state="hidden" r:id="rId2"/>
    <sheet name="隠しシート2" sheetId="18" state="hidden" r:id="rId3"/>
    <sheet name="抽出結果" sheetId="54" state="hidden" r:id="rId4"/>
    <sheet name="3-2" sheetId="37" r:id="rId5"/>
    <sheet name="3-3" sheetId="57" r:id="rId6"/>
    <sheet name="3-4" sheetId="58" r:id="rId7"/>
    <sheet name="4×4" sheetId="56" r:id="rId8"/>
    <sheet name="グループ設定" sheetId="55" r:id="rId9"/>
  </sheets>
  <definedNames>
    <definedName name="_xlnm._FilterDatabase" localSheetId="1" hidden="1">隠しシート!$B$3:$F$400</definedName>
    <definedName name="_xlnm.Extract" localSheetId="3">抽出結果!$A$1:$E$1</definedName>
    <definedName name="_xlnm.Print_Area" localSheetId="4">'3-2'!$A$1:$I$10</definedName>
    <definedName name="_xlnm.Print_Area" localSheetId="5">'3-3'!$A$1:$I$10</definedName>
    <definedName name="_xlnm.Print_Area" localSheetId="6">'3-4'!$A$1:$I$10</definedName>
    <definedName name="_xlnm.Print_Area" localSheetId="7">'4×4'!$A$1:$I$10</definedName>
    <definedName name="座席表" localSheetId="5">'3-3'!$B$4:$D$6</definedName>
    <definedName name="座席表" localSheetId="6">'3-4'!$B$4:$D$6</definedName>
    <definedName name="座席表" localSheetId="7">'4×4'!$B$4:$D$6</definedName>
    <definedName name="座席表">'3-2'!$B$4:$D$6</definedName>
    <definedName name="出欠" localSheetId="5">'3-3'!$J$14:$J$15</definedName>
    <definedName name="出欠" localSheetId="6">'3-4'!$J$14:$J$15</definedName>
    <definedName name="出欠" localSheetId="7">'4×4'!$J$14:$J$15</definedName>
    <definedName name="出欠">'3-2'!$J$14:$J$15</definedName>
    <definedName name="出欠表" localSheetId="5">'3-3'!$B$14:$D$16</definedName>
    <definedName name="出欠表" localSheetId="6">'3-4'!$B$14:$D$16</definedName>
    <definedName name="出欠表" localSheetId="7">'4×4'!$B$14:$D$16</definedName>
    <definedName name="出欠表">'3-2'!$B$14:$D$16</definedName>
  </definedNames>
  <calcPr calcId="191029"/>
  <customWorkbookViews>
    <customWorkbookView name="inaoka - 個人用ビュー" guid="{EF036C93-D6B9-4860-9D56-5672E7D4C70F}" mergeInterval="0" personalView="1" maximized="1" xWindow="1" yWindow="1" windowWidth="1276" windowHeight="806" tabRatio="411" activeSheetId="10"/>
    <customWorkbookView name="shinjyo - 個人用ビュー" guid="{6352524E-88E7-48FC-962E-2C1F12CD8651}" mergeInterval="0" personalView="1" maximized="1" xWindow="1" yWindow="1" windowWidth="1362" windowHeight="541" activeSheetId="10"/>
    <customWorkbookView name="setup - 個人用ビュー" guid="{34C30F08-3E95-42E2-A49F-E3CD70EEC615}" mergeInterval="0" personalView="1" maximized="1" xWindow="1" yWindow="1" windowWidth="1276" windowHeight="548" activeSheetId="10"/>
    <customWorkbookView name="nakano_su - 個人用ビュー" guid="{5E7153CB-E262-47C9-842E-6B9E953B2B32}" mergeInterval="0" personalView="1" maximized="1" windowWidth="1192" windowHeight="658" activeSheetId="7"/>
    <customWorkbookView name="yokomizo - 個人用ビュー" guid="{F107C9BC-68D7-4E48-A1CD-6C4FFA8DB3A9}" mergeInterval="0" personalView="1" maximized="1" xWindow="1" yWindow="1" windowWidth="1362" windowHeight="631" activeSheetId="1"/>
    <customWorkbookView name="INAGAKI - 個人用ビュー" guid="{18A4463A-9A5E-47DE-8F42-65758F42F095}" mergeInterval="0" personalView="1" maximized="1" xWindow="1" yWindow="1" windowWidth="1362" windowHeight="541" tabRatio="464" activeSheetId="1"/>
    <customWorkbookView name="YAMAMOTO_J - 個人用ビュー" guid="{EA39266A-C4E8-47E9-8FE0-552B80CF4553}" mergeInterval="0" personalView="1" maximized="1" windowWidth="1362" windowHeight="579" tabRatio="464" activeSheetId="5"/>
    <customWorkbookView name="nakazono - 個人用ビュー" guid="{C3F575CE-6B18-41D9-A209-BBCC5A1AB922}" mergeInterval="0" personalView="1" maximized="1" windowWidth="1276" windowHeight="572" tabRatio="411" activeSheetId="9"/>
    <customWorkbookView name="okui_m - 個人用ビュー" guid="{AD555BF3-8AF5-4B6B-B4F5-BB97F4061C70}" mergeInterval="0" personalView="1" maximized="1" windowWidth="1020" windowHeight="596" activeSheetId="10"/>
    <customWorkbookView name="nomura_m - 個人用ビュー" guid="{F091838A-89C8-4E82-B518-337ED76455DD}" mergeInterval="0" personalView="1" maximized="1" windowWidth="1239" windowHeight="609" activeSheetId="9"/>
    <customWorkbookView name="KATO - 個人用ビュー" guid="{7828D202-0526-4035-93CD-AB82C4182438}" mergeInterval="0" personalView="1" xWindow="439" yWindow="44" windowWidth="1242" windowHeight="559" activeSheetId="6"/>
    <customWorkbookView name="kojima_m - 個人用ビュー" guid="{0098965A-9D11-416C-8D0E-2A0C995F2F1F}" mergeInterval="0" personalView="1" maximized="1" windowWidth="1020" windowHeight="477" activeSheetId="1"/>
    <customWorkbookView name="岡田　貴子 - 個人用ビュー" guid="{9614A847-CA83-4D53-9578-0FEC0941E9A4}" mergeInterval="0" personalView="1" maximized="1" windowWidth="1020" windowHeight="570" activeSheetId="8"/>
    <customWorkbookView name="ishise - 個人用ビュー" guid="{3B4600F2-BA69-41DB-8BA0-7AA4DEEACCB4}" mergeInterval="0" personalView="1" maximized="1" windowWidth="1020" windowHeight="619" activeSheetId="6"/>
    <customWorkbookView name="okano - 個人用ビュー" guid="{46EB2D3F-F5BA-4045-950B-7EDC0DB173B6}" mergeInterval="0" personalView="1" maximized="1" windowWidth="1276" windowHeight="624" activeSheetId="5"/>
    <customWorkbookView name="amaike - 個人用ビュー" guid="{0E8AAF0D-30E6-4C48-8C46-EBB82607DB51}" mergeInterval="0" personalView="1" maximized="1" windowWidth="1020" windowHeight="596" activeSheetId="5"/>
    <customWorkbookView name="sanpei - 個人用ビュー" guid="{F1B22755-0298-42DA-8CB8-641DE28F520C}" mergeInterval="0" personalView="1" maximized="1" windowWidth="1276" windowHeight="598" activeSheetId="3"/>
    <customWorkbookView name="tamura_m - 個人用ビュー" guid="{1063DEC5-0D8F-4F29-8B41-A612E6993488}" mergeInterval="0" personalView="1" maximized="1" windowWidth="1276" windowHeight="598" activeSheetId="6"/>
    <customWorkbookView name="稲原 学 - 個人用ビュー" guid="{541893ED-D3F4-44DA-B8D8-3D86D8E5A8B0}" mergeInterval="0" personalView="1" maximized="1" windowWidth="1020" windowHeight="604" activeSheetId="7"/>
    <customWorkbookView name="Akinari Yoshinaga - 個人用ビュー" guid="{BBEA07C3-195F-4AD1-BB70-E5D48481366F}" mergeInterval="0" personalView="1" maximized="1" xWindow="1" yWindow="1" windowWidth="1155" windowHeight="349" activeSheetId="37"/>
    <customWorkbookView name="inahara - 個人用ビュー" guid="{D7886B71-A97A-479B-998E-F16E74C41D58}" mergeInterval="0" personalView="1" maximized="1" windowWidth="1276" windowHeight="655" activeSheetId="9"/>
    <customWorkbookView name="inagaki_s - 個人用ビュー" guid="{F41AF739-C978-4633-8BAC-236C99E35F27}" mergeInterval="0" personalView="1" maximized="1" windowWidth="1276" windowHeight="610" activeSheetId="9"/>
    <customWorkbookView name="takano - 個人用ビュー" guid="{FD151E5B-BF81-427B-AFED-3E52A309927F}" mergeInterval="0" personalView="1" maximized="1" windowWidth="996" windowHeight="466" activeSheetId="1"/>
    <customWorkbookView name="貫井 聡史 - 個人用ビュー" guid="{FCA484D8-B9A5-4227-992C-B622193F165D}" mergeInterval="0" personalView="1" maximized="1" windowWidth="1020" windowHeight="603" activeSheetId="5"/>
    <customWorkbookView name="  - 個人用ビュー" guid="{A449FD7F-7DD5-4776-8E5C-68BB5C614151}" mergeInterval="0" personalView="1" xWindow="156" yWindow="136" windowWidth="1076" windowHeight="349" activeSheetId="37" showComments="commIndAndComment"/>
    <customWorkbookView name="KOU - 個人用ビュー" guid="{D5B5A22E-846E-48EC-935D-B7EC6047582E}" mergeInterval="0" personalView="1" maximized="1" xWindow="1" yWindow="1" windowWidth="1366" windowHeight="505" activeSheetId="8"/>
    <customWorkbookView name="kusama - 個人用ビュー" guid="{D40D57F8-96A0-4F0F-AD6D-A19BF69017C4}" mergeInterval="0" personalView="1" maximized="1" windowWidth="1596" windowHeight="673" activeSheetId="12"/>
    <customWorkbookView name="tanimoto - 個人用ビュー" guid="{27F652EC-A5DF-4C35-9800-EBE85104F056}" mergeInterval="0" personalView="1" maximized="1" windowWidth="1436" windowHeight="740" activeSheetId="1"/>
    <customWorkbookView name="nagamine - 個人用ビュー" guid="{BABFFA63-0099-447C-9221-E9111B10CB90}" mergeInterval="0" personalView="1" maximized="1" windowWidth="1276" windowHeight="621" tabRatio="411" activeSheetId="9"/>
    <customWorkbookView name="nagai_hi - 個人用ビュー" guid="{32CD3B7A-989A-4937-B9C5-ADB70618A772}" mergeInterval="0" personalView="1" maximized="1" windowWidth="1276" windowHeight="573" activeSheetId="2"/>
    <customWorkbookView name="nukui - 個人用ビュー" guid="{264DFAF3-3546-4A16-BC32-658462346C75}" mergeInterval="0" personalView="1" maximized="1" xWindow="1" yWindow="1" windowWidth="1362" windowHeight="541" activeSheetId="3"/>
    <customWorkbookView name="nagatoshi - 個人用ビュー" guid="{51707036-C7DD-4EBF-99C9-22CC8C7381B4}" mergeInterval="0" personalView="1" maximized="1" xWindow="1" yWindow="1" windowWidth="1348" windowHeight="522" activeSheetId="5"/>
    <customWorkbookView name="tanaka_t_eel - 個人用ビュー" guid="{7F8F6C40-4796-4F40-8F71-8036A2896760}" mergeInterval="0" personalView="1" maximized="1" xWindow="1" yWindow="1" windowWidth="1362" windowHeight="541" activeSheetId="9"/>
    <customWorkbookView name="tsunekawa - 個人用ビュー" guid="{0D118515-013D-4CBB-A99F-63CF79041ECE}" mergeInterval="0" personalView="1" xWindow="16" yWindow="458" windowWidth="1115" windowHeight="262" activeSheetId="9"/>
    <customWorkbookView name="yanaka - 個人用ビュー" guid="{981BB16A-C522-4B37-8AC0-F44F21E66E0A}" mergeInterval="0" personalView="1" maximized="1" xWindow="1" yWindow="1" windowWidth="1596" windowHeight="682" activeSheetId="10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18" l="1"/>
  <c r="C3" i="18"/>
  <c r="F5" i="11"/>
  <c r="F6" i="11" s="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/>
  <c r="F23" i="11"/>
  <c r="F24" i="11" s="1"/>
  <c r="F25" i="11" s="1"/>
  <c r="F26" i="11"/>
  <c r="F27" i="11"/>
  <c r="F28" i="11" s="1"/>
  <c r="F29" i="11"/>
  <c r="F30" i="11"/>
  <c r="F31" i="11" s="1"/>
  <c r="F32" i="11"/>
  <c r="F33" i="11"/>
  <c r="F34" i="11" s="1"/>
  <c r="F35" i="11"/>
  <c r="F36" i="11"/>
  <c r="F37" i="11"/>
  <c r="F38" i="11" s="1"/>
  <c r="F39" i="11" s="1"/>
  <c r="F40" i="11"/>
  <c r="F41" i="11"/>
  <c r="F42" i="11" s="1"/>
  <c r="F43" i="11" s="1"/>
  <c r="F44" i="11"/>
  <c r="F45" i="11"/>
  <c r="F46" i="11" s="1"/>
  <c r="F47" i="11"/>
  <c r="F48" i="11"/>
  <c r="F49" i="11"/>
  <c r="F50" i="11" s="1"/>
  <c r="F51" i="11"/>
  <c r="F52" i="11"/>
  <c r="F53" i="11" s="1"/>
  <c r="F54" i="11"/>
  <c r="F55" i="11"/>
  <c r="F56" i="11"/>
  <c r="F57" i="11"/>
  <c r="F58" i="11" s="1"/>
  <c r="F59" i="11"/>
  <c r="F60" i="11"/>
  <c r="F61" i="11" s="1"/>
  <c r="F62" i="11" s="1"/>
  <c r="F63" i="11" s="1"/>
  <c r="F64" i="11"/>
  <c r="F65" i="11"/>
  <c r="F66" i="11"/>
  <c r="F67" i="11" s="1"/>
  <c r="F68" i="11" s="1"/>
  <c r="F69" i="11" s="1"/>
  <c r="F70" i="11" s="1"/>
  <c r="F71" i="11"/>
  <c r="F72" i="11"/>
  <c r="F73" i="11"/>
  <c r="F74" i="11" s="1"/>
  <c r="F75" i="11"/>
  <c r="F76" i="11"/>
  <c r="F77" i="11"/>
  <c r="F78" i="11" s="1"/>
  <c r="F79" i="11" s="1"/>
  <c r="F80" i="11" s="1"/>
  <c r="F81" i="11"/>
  <c r="F82" i="11"/>
  <c r="F83" i="11" s="1"/>
  <c r="F84" i="11" s="1"/>
  <c r="F85" i="11" s="1"/>
  <c r="F86" i="11" s="1"/>
  <c r="F87" i="11" s="1"/>
  <c r="F88" i="11"/>
  <c r="F89" i="11"/>
  <c r="F90" i="11" s="1"/>
  <c r="F91" i="11" s="1"/>
  <c r="F92" i="11" s="1"/>
  <c r="F93" i="11" s="1"/>
  <c r="F94" i="11" s="1"/>
  <c r="F95" i="11" s="1"/>
  <c r="F96" i="11" s="1"/>
  <c r="F97" i="11"/>
  <c r="F98" i="11"/>
  <c r="F99" i="11" s="1"/>
  <c r="F100" i="11" s="1"/>
  <c r="F101" i="11"/>
  <c r="F102" i="11"/>
  <c r="F103" i="11" s="1"/>
  <c r="F104" i="11" s="1"/>
  <c r="F105" i="11" s="1"/>
  <c r="F106" i="11"/>
  <c r="F107" i="11"/>
  <c r="F108" i="11" s="1"/>
  <c r="F109" i="11" s="1"/>
  <c r="F110" i="11" s="1"/>
  <c r="F111" i="11" s="1"/>
  <c r="F112" i="11"/>
  <c r="F113" i="11"/>
  <c r="F114" i="11" s="1"/>
  <c r="F115" i="11"/>
  <c r="F116" i="11"/>
  <c r="F117" i="11"/>
  <c r="F118" i="11" s="1"/>
  <c r="F119" i="11" s="1"/>
  <c r="F120" i="11" s="1"/>
  <c r="F121" i="11" s="1"/>
  <c r="F122" i="11" s="1"/>
  <c r="F123" i="11"/>
  <c r="F124" i="11"/>
  <c r="F125" i="11"/>
  <c r="F126" i="11" s="1"/>
  <c r="F127" i="11"/>
  <c r="F128" i="11"/>
  <c r="F129" i="11"/>
  <c r="F130" i="11"/>
  <c r="F131" i="11"/>
  <c r="F132" i="11" s="1"/>
  <c r="F133" i="11"/>
  <c r="F134" i="11"/>
  <c r="F135" i="11" s="1"/>
  <c r="F136" i="11"/>
  <c r="F137" i="11"/>
  <c r="F138" i="11" s="1"/>
  <c r="F139" i="11" s="1"/>
  <c r="F140" i="11"/>
  <c r="F141" i="11"/>
  <c r="F142" i="11" s="1"/>
  <c r="F143" i="11" s="1"/>
  <c r="F144" i="11" s="1"/>
  <c r="F145" i="11" s="1"/>
  <c r="F146" i="11"/>
  <c r="F147" i="11"/>
  <c r="F148" i="11" s="1"/>
  <c r="F149" i="11" s="1"/>
  <c r="F150" i="11"/>
  <c r="F151" i="11"/>
  <c r="F152" i="11" s="1"/>
  <c r="F153" i="11"/>
  <c r="F154" i="11"/>
  <c r="F155" i="11" s="1"/>
  <c r="F156" i="11"/>
  <c r="F157" i="11"/>
  <c r="F158" i="11" s="1"/>
  <c r="F159" i="11" s="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4" i="11"/>
  <c r="C5" i="10"/>
  <c r="D5" i="10"/>
  <c r="E5" i="10"/>
  <c r="G5" i="10"/>
  <c r="F7" i="10"/>
  <c r="F6" i="10"/>
  <c r="F5" i="10" s="1"/>
</calcChain>
</file>

<file path=xl/sharedStrings.xml><?xml version="1.0" encoding="utf-8"?>
<sst xmlns="http://schemas.openxmlformats.org/spreadsheetml/2006/main" count="443" uniqueCount="109">
  <si>
    <t>売上</t>
    <rPh sb="0" eb="2">
      <t>ウリアゲ</t>
    </rPh>
    <phoneticPr fontId="20"/>
  </si>
  <si>
    <t>粗利</t>
    <rPh sb="0" eb="1">
      <t>アラ</t>
    </rPh>
    <rPh sb="1" eb="2">
      <t>リ</t>
    </rPh>
    <phoneticPr fontId="20"/>
  </si>
  <si>
    <t>原価</t>
    <rPh sb="0" eb="2">
      <t>ゲンカ</t>
    </rPh>
    <phoneticPr fontId="20"/>
  </si>
  <si>
    <t>通常</t>
    <rPh sb="0" eb="2">
      <t>ツウジョウ</t>
    </rPh>
    <phoneticPr fontId="20"/>
  </si>
  <si>
    <t>相殺対応</t>
    <rPh sb="0" eb="2">
      <t>ソウサイ</t>
    </rPh>
    <rPh sb="2" eb="4">
      <t>タイオウ</t>
    </rPh>
    <phoneticPr fontId="20"/>
  </si>
  <si>
    <t>粗利（営業数字）</t>
    <rPh sb="0" eb="1">
      <t>アラ</t>
    </rPh>
    <rPh sb="1" eb="2">
      <t>リ</t>
    </rPh>
    <rPh sb="3" eb="5">
      <t>エイギョウ</t>
    </rPh>
    <rPh sb="5" eb="7">
      <t>スウジ</t>
    </rPh>
    <phoneticPr fontId="20"/>
  </si>
  <si>
    <t>確定数字</t>
    <rPh sb="0" eb="2">
      <t>カクテイ</t>
    </rPh>
    <rPh sb="2" eb="4">
      <t>スウジ</t>
    </rPh>
    <phoneticPr fontId="20"/>
  </si>
  <si>
    <t>クライアント</t>
    <phoneticPr fontId="20"/>
  </si>
  <si>
    <t>総計</t>
    <rPh sb="0" eb="2">
      <t>ソウケイ</t>
    </rPh>
    <phoneticPr fontId="20"/>
  </si>
  <si>
    <t>NECﾋﾞｯｸﾞﾛｰﾌﾞ</t>
  </si>
  <si>
    <t>SBIﾗｲﾌﾘﾋﾞﾝｸﾞ</t>
  </si>
  <si>
    <t>T-MEDIAﾎｰﾙﾃﾞｨﾝｸﾞｽ</t>
  </si>
  <si>
    <t>TSUTAYA DISCAS</t>
  </si>
  <si>
    <t xml:space="preserve">zeronana </t>
  </si>
  <si>
    <t>ｱｲﾑ</t>
  </si>
  <si>
    <t>アクティブチャネル</t>
  </si>
  <si>
    <t>インターナショナルカードシステム株式会社</t>
  </si>
  <si>
    <t>インターナル</t>
  </si>
  <si>
    <t>インデックス</t>
  </si>
  <si>
    <t>ｲﾝﾄﾛﾑ</t>
  </si>
  <si>
    <t>ｴﾑｽﾘｰ</t>
  </si>
  <si>
    <t>ｵﾙﾋﾞｽ</t>
  </si>
  <si>
    <t>ｷﾅﾘ</t>
  </si>
  <si>
    <t>ｸﾚﾊﾞｧｰｽﾞ</t>
  </si>
  <si>
    <t>ゴルフダイジェスト・オンライン</t>
  </si>
  <si>
    <t>ｻｯﾌｫ化粧品</t>
  </si>
  <si>
    <t>シーミュージック</t>
  </si>
  <si>
    <t>ﾃｨｰｴｰｼﾞｪﾝﾄ</t>
  </si>
  <si>
    <t>ﾈｲﾁｬｰｳｪｲ</t>
  </si>
  <si>
    <t>ﾊｯﾋﾟｰｶﾑｶﾑ</t>
  </si>
  <si>
    <t>ﾌｧｲﾌﾞｴﾆｰ</t>
  </si>
  <si>
    <t>ﾌｧｯｼｮﾝｺﾗﾎﾞ</t>
  </si>
  <si>
    <t>ﾗｲﾂｱﾊﾟｰﾄﾒﾝﾄ</t>
  </si>
  <si>
    <t>ﾜﾝｽﾀｰ</t>
  </si>
  <si>
    <t>山田養蜂場</t>
  </si>
  <si>
    <t>承認案件</t>
  </si>
  <si>
    <t>天創堂</t>
  </si>
  <si>
    <t>日経・TBSスマートメディア</t>
  </si>
  <si>
    <t>北の達人</t>
  </si>
  <si>
    <t>制作</t>
  </si>
  <si>
    <t>着地売上合計</t>
  </si>
  <si>
    <t>着地原価合計</t>
  </si>
  <si>
    <t>着地粗利合計</t>
  </si>
  <si>
    <t>クライアント名</t>
    <rPh sb="6" eb="7">
      <t>メイ</t>
    </rPh>
    <phoneticPr fontId="20"/>
  </si>
  <si>
    <t>ASP・自社・null・GG・OVT・純広・ｲﾝﾀﾚｽﾄﾏｯﾁ・ｱﾄﾞｶﾎﾞ・ｻｰﾁﾃﾘｱ・ｱｲﾓﾊﾞｲﾙ・ﾈｵｱﾄﾞ・ｻｲﾊﾞｰZ・ｱﾈﾓﾈ･D2C・nend・その他</t>
    <phoneticPr fontId="20"/>
  </si>
  <si>
    <t>Endlle・Japan</t>
  </si>
  <si>
    <t>AppBroadCast</t>
  </si>
  <si>
    <t>抽出結果なし用</t>
    <rPh sb="0" eb="4">
      <t>チュウシュツケッカ</t>
    </rPh>
    <rPh sb="6" eb="7">
      <t>ヨウ</t>
    </rPh>
    <phoneticPr fontId="20"/>
  </si>
  <si>
    <t>請求先累計</t>
    <rPh sb="0" eb="3">
      <t>セイキュウサキ</t>
    </rPh>
    <rPh sb="3" eb="5">
      <t>ルイケイ</t>
    </rPh>
    <phoneticPr fontId="20"/>
  </si>
  <si>
    <t>ASP累計</t>
    <rPh sb="3" eb="5">
      <t>ルイケイ</t>
    </rPh>
    <phoneticPr fontId="20"/>
  </si>
  <si>
    <t>請求先名
(入力必須)</t>
  </si>
  <si>
    <t>ASP・自社・null・GG・OVT・純広・ｲﾝﾀﾚｽﾄﾏｯﾁ・ｱﾄﾞｶﾎﾞ・ｻｰﾁﾃﾘｱ・ｱｲﾓﾊﾞｲﾙ・ﾈｵｱﾄﾞ・ｻｲﾊﾞｰZ・ｱﾈﾓﾈ･D2C・nend・その他</t>
  </si>
  <si>
    <t>総計</t>
  </si>
  <si>
    <t>AdLantis</t>
  </si>
  <si>
    <t>ASP</t>
  </si>
  <si>
    <t>D2C</t>
  </si>
  <si>
    <t>GG</t>
  </si>
  <si>
    <t>nend</t>
  </si>
  <si>
    <t>null</t>
  </si>
  <si>
    <t>OVT</t>
  </si>
  <si>
    <t>Xﾘｽﾃｨﾝｸﾞ</t>
  </si>
  <si>
    <t>YAHOO</t>
  </si>
  <si>
    <t>Zucks</t>
  </si>
  <si>
    <t>アイモバイル</t>
  </si>
  <si>
    <t>ｲﾝﾀﾚｽﾄﾏｯﾁ</t>
  </si>
  <si>
    <t>その他</t>
  </si>
  <si>
    <t>自社</t>
  </si>
  <si>
    <t>(空白)</t>
  </si>
  <si>
    <t>制作</t>
    <phoneticPr fontId="20"/>
  </si>
  <si>
    <t>北の達人</t>
    <phoneticPr fontId="20"/>
  </si>
  <si>
    <t>出</t>
  </si>
  <si>
    <t>出欠入力用</t>
    <rPh sb="0" eb="2">
      <t>シュッケツ</t>
    </rPh>
    <rPh sb="2" eb="5">
      <t>ニュウリョクヨウ</t>
    </rPh>
    <phoneticPr fontId="20"/>
  </si>
  <si>
    <t>D</t>
  </si>
  <si>
    <t>B</t>
  </si>
  <si>
    <t>C</t>
  </si>
  <si>
    <t>A</t>
  </si>
  <si>
    <t>E</t>
  </si>
  <si>
    <t>A</t>
    <phoneticPr fontId="20"/>
  </si>
  <si>
    <t>B</t>
    <phoneticPr fontId="20"/>
  </si>
  <si>
    <t>C</t>
    <phoneticPr fontId="20"/>
  </si>
  <si>
    <t>D</t>
    <phoneticPr fontId="20"/>
  </si>
  <si>
    <t>E</t>
    <phoneticPr fontId="20"/>
  </si>
  <si>
    <t>F</t>
    <phoneticPr fontId="20"/>
  </si>
  <si>
    <t>G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</si>
  <si>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</si>
  <si>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</si>
  <si>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</si>
  <si>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</si>
  <si>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L</t>
    <phoneticPr fontId="20"/>
  </si>
  <si>
    <t>M</t>
    <phoneticPr fontId="20"/>
  </si>
  <si>
    <t>N</t>
    <phoneticPr fontId="20"/>
  </si>
  <si>
    <t>O</t>
    <phoneticPr fontId="20"/>
  </si>
  <si>
    <t>P</t>
    <phoneticPr fontId="20"/>
  </si>
  <si>
    <t>Q</t>
    <phoneticPr fontId="20"/>
  </si>
  <si>
    <t>R</t>
    <phoneticPr fontId="20"/>
  </si>
  <si>
    <t>H</t>
  </si>
  <si>
    <t>G</t>
  </si>
  <si>
    <t>F</t>
  </si>
  <si>
    <t>L</t>
  </si>
  <si>
    <t>J</t>
  </si>
  <si>
    <t>K</t>
  </si>
  <si>
    <t>I</t>
  </si>
  <si>
    <t>出</t>
    <phoneticPr fontId="20"/>
  </si>
  <si>
    <t>欠</t>
  </si>
  <si>
    <t>P</t>
  </si>
  <si>
    <t>Q</t>
  </si>
  <si>
    <t>M</t>
  </si>
  <si>
    <t>N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</si>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</sst>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#,##0_ "/>
    <numFmt numFmtId="177" formatCode="0_ "/>
  </numFmts>
  <fonts count="3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HGP創英角ｺﾞｼｯｸUB"/>
      <family val="3"/>
      <charset val="128"/>
    </font>
    <font>
      <sz val="9"/>
      <color indexed="10"/>
      <name val="HGP創英角ｺﾞｼｯｸUB"/>
      <family val="3"/>
      <charset val="128"/>
    </font>
    <font>
      <b/>
      <sz val="9"/>
      <name val="HGP創英角ｺﾞｼｯｸUB"/>
      <family val="3"/>
      <charset val="128"/>
    </font>
    <font>
      <sz val="9"/>
      <color indexed="18"/>
      <name val="HGP創英角ｺﾞｼｯｸUB"/>
      <family val="3"/>
      <charset val="128"/>
    </font>
    <font>
      <b/>
      <sz val="9"/>
      <color indexed="10"/>
      <name val="HGP創英角ｺﾞｼｯｸUB"/>
      <family val="3"/>
      <charset val="128"/>
    </font>
    <font>
      <sz val="9"/>
      <color indexed="9"/>
      <name val="HGP創英角ｺﾞｼｯｸUB"/>
      <family val="3"/>
      <charset val="128"/>
    </font>
    <font>
      <b/>
      <sz val="12"/>
      <color indexed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sz val="16"/>
      <name val="ＭＳ Ｐゴシック"/>
      <family val="3"/>
      <charset val="128"/>
    </font>
    <font>
      <sz val="28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</borders>
  <cellStyleXfs count="45">
    <xf numFmtId="0" fontId="0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2" fillId="0" borderId="0" applyNumberFormat="0" applyFill="0" applyBorder="0" applyAlignment="0" applyProtection="0"/>
    <xf numFmtId="0" fontId="19" fillId="4" borderId="0" applyNumberFormat="0" applyBorder="0" applyAlignment="0" applyProtection="0">
      <alignment vertical="center"/>
    </xf>
  </cellStyleXfs>
  <cellXfs count="79">
    <xf numFmtId="0" fontId="0" fillId="0" borderId="0" xfId="0" applyAlignment="1">
      <alignment vertical="center"/>
    </xf>
    <xf numFmtId="49" fontId="21" fillId="24" borderId="0" xfId="1" applyNumberFormat="1" applyFont="1" applyFill="1" applyAlignment="1">
      <alignment vertical="center"/>
    </xf>
    <xf numFmtId="38" fontId="21" fillId="24" borderId="0" xfId="1" applyNumberFormat="1" applyFont="1" applyFill="1" applyAlignment="1">
      <alignment vertical="center" shrinkToFit="1"/>
    </xf>
    <xf numFmtId="0" fontId="21" fillId="0" borderId="0" xfId="1" applyFont="1" applyFill="1" applyAlignment="1">
      <alignment vertical="center" shrinkToFit="1"/>
    </xf>
    <xf numFmtId="49" fontId="21" fillId="24" borderId="10" xfId="34" applyNumberFormat="1" applyFont="1" applyFill="1" applyBorder="1" applyAlignment="1">
      <alignment horizontal="center" vertical="center"/>
    </xf>
    <xf numFmtId="49" fontId="21" fillId="24" borderId="11" xfId="1" applyNumberFormat="1" applyFont="1" applyFill="1" applyBorder="1" applyAlignment="1">
      <alignment vertical="center"/>
    </xf>
    <xf numFmtId="0" fontId="21" fillId="0" borderId="0" xfId="1" applyFont="1" applyAlignment="1">
      <alignment vertical="center"/>
    </xf>
    <xf numFmtId="0" fontId="21" fillId="24" borderId="0" xfId="43" applyFont="1" applyFill="1" applyAlignment="1">
      <alignment vertical="center"/>
    </xf>
    <xf numFmtId="0" fontId="21" fillId="24" borderId="0" xfId="1" applyFont="1" applyFill="1" applyAlignment="1">
      <alignment vertical="center"/>
    </xf>
    <xf numFmtId="38" fontId="21" fillId="0" borderId="0" xfId="1" applyNumberFormat="1" applyFont="1" applyAlignment="1">
      <alignment vertical="center"/>
    </xf>
    <xf numFmtId="176" fontId="21" fillId="0" borderId="0" xfId="1" applyNumberFormat="1" applyFont="1" applyAlignment="1">
      <alignment vertical="center"/>
    </xf>
    <xf numFmtId="0" fontId="25" fillId="0" borderId="0" xfId="1" applyFont="1" applyAlignment="1">
      <alignment vertical="center"/>
    </xf>
    <xf numFmtId="49" fontId="23" fillId="24" borderId="0" xfId="1" applyNumberFormat="1" applyFont="1" applyFill="1" applyAlignment="1">
      <alignment vertical="center"/>
    </xf>
    <xf numFmtId="38" fontId="21" fillId="25" borderId="12" xfId="34" applyFont="1" applyFill="1" applyBorder="1" applyAlignment="1">
      <alignment horizontal="center" vertical="center" shrinkToFit="1"/>
    </xf>
    <xf numFmtId="38" fontId="24" fillId="24" borderId="0" xfId="43" applyNumberFormat="1" applyFont="1" applyFill="1" applyAlignment="1">
      <alignment vertical="center"/>
    </xf>
    <xf numFmtId="6" fontId="22" fillId="24" borderId="0" xfId="43" applyNumberFormat="1" applyFont="1" applyFill="1" applyAlignment="1">
      <alignment vertical="center"/>
    </xf>
    <xf numFmtId="38" fontId="21" fillId="25" borderId="13" xfId="34" applyFont="1" applyFill="1" applyBorder="1" applyAlignment="1">
      <alignment horizontal="center" vertical="center" shrinkToFit="1"/>
    </xf>
    <xf numFmtId="38" fontId="21" fillId="25" borderId="14" xfId="34" applyFont="1" applyFill="1" applyBorder="1" applyAlignment="1">
      <alignment vertical="center" shrinkToFit="1"/>
    </xf>
    <xf numFmtId="38" fontId="21" fillId="0" borderId="0" xfId="34" applyFont="1" applyFill="1" applyAlignment="1">
      <alignment vertical="center" shrinkToFit="1"/>
    </xf>
    <xf numFmtId="38" fontId="21" fillId="0" borderId="0" xfId="34" applyFont="1" applyAlignment="1">
      <alignment vertical="center"/>
    </xf>
    <xf numFmtId="38" fontId="21" fillId="0" borderId="15" xfId="34" applyFont="1" applyFill="1" applyBorder="1" applyAlignment="1">
      <alignment horizontal="center" vertical="center"/>
    </xf>
    <xf numFmtId="38" fontId="21" fillId="25" borderId="16" xfId="34" applyFont="1" applyFill="1" applyBorder="1" applyAlignment="1">
      <alignment horizontal="right" vertical="center" shrinkToFit="1"/>
    </xf>
    <xf numFmtId="38" fontId="21" fillId="25" borderId="17" xfId="34" applyFont="1" applyFill="1" applyBorder="1" applyAlignment="1">
      <alignment horizontal="right" vertical="center" shrinkToFit="1"/>
    </xf>
    <xf numFmtId="38" fontId="21" fillId="0" borderId="18" xfId="34" applyFont="1" applyBorder="1" applyAlignment="1">
      <alignment vertical="center"/>
    </xf>
    <xf numFmtId="38" fontId="21" fillId="0" borderId="19" xfId="34" applyFont="1" applyBorder="1" applyAlignment="1">
      <alignment horizontal="right" vertical="center"/>
    </xf>
    <xf numFmtId="38" fontId="21" fillId="0" borderId="20" xfId="34" applyFont="1" applyBorder="1" applyAlignment="1">
      <alignment vertical="center"/>
    </xf>
    <xf numFmtId="38" fontId="21" fillId="0" borderId="21" xfId="34" applyFont="1" applyFill="1" applyBorder="1" applyAlignment="1">
      <alignment horizontal="center" vertical="center"/>
    </xf>
    <xf numFmtId="38" fontId="21" fillId="25" borderId="22" xfId="34" applyFont="1" applyFill="1" applyBorder="1" applyAlignment="1">
      <alignment horizontal="right" vertical="center" shrinkToFit="1"/>
    </xf>
    <xf numFmtId="38" fontId="21" fillId="25" borderId="23" xfId="34" applyFont="1" applyFill="1" applyBorder="1" applyAlignment="1">
      <alignment horizontal="right" vertical="center" shrinkToFit="1"/>
    </xf>
    <xf numFmtId="38" fontId="21" fillId="0" borderId="24" xfId="34" applyFont="1" applyFill="1" applyBorder="1" applyAlignment="1">
      <alignment vertical="center"/>
    </xf>
    <xf numFmtId="38" fontId="21" fillId="0" borderId="25" xfId="34" applyFont="1" applyBorder="1" applyAlignment="1">
      <alignment horizontal="right" vertical="center"/>
    </xf>
    <xf numFmtId="38" fontId="21" fillId="0" borderId="26" xfId="34" applyFont="1" applyFill="1" applyBorder="1" applyAlignment="1">
      <alignment vertical="center"/>
    </xf>
    <xf numFmtId="38" fontId="21" fillId="24" borderId="27" xfId="34" applyFont="1" applyFill="1" applyBorder="1" applyAlignment="1">
      <alignment horizontal="center" vertical="center"/>
    </xf>
    <xf numFmtId="38" fontId="21" fillId="28" borderId="28" xfId="1" applyNumberFormat="1" applyFont="1" applyFill="1" applyBorder="1" applyAlignment="1">
      <alignment horizontal="center" vertical="center" shrinkToFit="1"/>
    </xf>
    <xf numFmtId="38" fontId="21" fillId="28" borderId="29" xfId="1" applyNumberFormat="1" applyFont="1" applyFill="1" applyBorder="1" applyAlignment="1">
      <alignment horizontal="center" vertical="center" shrinkToFit="1"/>
    </xf>
    <xf numFmtId="38" fontId="21" fillId="28" borderId="30" xfId="1" applyNumberFormat="1" applyFont="1" applyFill="1" applyBorder="1" applyAlignment="1">
      <alignment horizontal="center" vertical="center" shrinkToFit="1"/>
    </xf>
    <xf numFmtId="0" fontId="6" fillId="26" borderId="0" xfId="0" applyFont="1" applyFill="1" applyBorder="1" applyAlignment="1">
      <alignment vertical="center"/>
    </xf>
    <xf numFmtId="0" fontId="27" fillId="26" borderId="31" xfId="0" applyFont="1" applyFill="1" applyBorder="1" applyAlignment="1">
      <alignment horizontal="left" vertical="center"/>
    </xf>
    <xf numFmtId="0" fontId="28" fillId="0" borderId="31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76" fontId="6" fillId="26" borderId="0" xfId="0" applyNumberFormat="1" applyFont="1" applyFill="1" applyBorder="1" applyAlignment="1">
      <alignment horizontal="right" vertical="center"/>
    </xf>
    <xf numFmtId="176" fontId="0" fillId="0" borderId="0" xfId="0" applyNumberFormat="1" applyAlignment="1">
      <alignment vertical="center"/>
    </xf>
    <xf numFmtId="176" fontId="28" fillId="0" borderId="31" xfId="0" applyNumberFormat="1" applyFont="1" applyBorder="1" applyAlignment="1">
      <alignment vertical="center"/>
    </xf>
    <xf numFmtId="0" fontId="0" fillId="0" borderId="0" xfId="0" applyNumberFormat="1" applyAlignment="1">
      <alignment vertical="center"/>
    </xf>
    <xf numFmtId="38" fontId="21" fillId="25" borderId="32" xfId="34" applyFont="1" applyFill="1" applyBorder="1" applyAlignment="1">
      <alignment vertical="center" shrinkToFit="1"/>
    </xf>
    <xf numFmtId="177" fontId="0" fillId="0" borderId="0" xfId="0" applyNumberFormat="1" applyAlignment="1">
      <alignment vertical="center"/>
    </xf>
    <xf numFmtId="0" fontId="0" fillId="0" borderId="33" xfId="0" applyBorder="1" applyAlignment="1">
      <alignment vertical="center"/>
    </xf>
    <xf numFmtId="0" fontId="0" fillId="29" borderId="0" xfId="0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29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31" fillId="0" borderId="37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31" fillId="0" borderId="40" xfId="0" applyFont="1" applyBorder="1" applyAlignment="1">
      <alignment horizontal="center" vertical="center"/>
    </xf>
    <xf numFmtId="0" fontId="31" fillId="0" borderId="41" xfId="0" applyFont="1" applyBorder="1" applyAlignment="1">
      <alignment horizontal="center" vertical="center"/>
    </xf>
    <xf numFmtId="0" fontId="31" fillId="0" borderId="42" xfId="0" applyFont="1" applyBorder="1" applyAlignment="1">
      <alignment horizontal="center" vertical="center"/>
    </xf>
    <xf numFmtId="0" fontId="31" fillId="0" borderId="43" xfId="0" applyFont="1" applyBorder="1" applyAlignment="1">
      <alignment horizontal="center" vertical="center"/>
    </xf>
    <xf numFmtId="0" fontId="31" fillId="0" borderId="44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0" fillId="0" borderId="0" xfId="0" applyNumberFormat="1" applyFont="1" applyBorder="1" applyAlignment="1">
      <alignment horizontal="center" vertical="center"/>
    </xf>
    <xf numFmtId="0" fontId="30" fillId="0" borderId="42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0" borderId="45" xfId="0" applyBorder="1" applyAlignment="1">
      <alignment horizontal="right" vertical="center"/>
    </xf>
    <xf numFmtId="0" fontId="0" fillId="0" borderId="45" xfId="0" applyBorder="1" applyAlignment="1">
      <alignment vertical="center"/>
    </xf>
    <xf numFmtId="38" fontId="21" fillId="28" borderId="46" xfId="1" applyNumberFormat="1" applyFont="1" applyFill="1" applyBorder="1" applyAlignment="1">
      <alignment horizontal="center" vertical="center" shrinkToFit="1"/>
    </xf>
    <xf numFmtId="38" fontId="21" fillId="28" borderId="47" xfId="1" applyNumberFormat="1" applyFont="1" applyFill="1" applyBorder="1" applyAlignment="1">
      <alignment horizontal="center" vertical="center" shrinkToFit="1"/>
    </xf>
    <xf numFmtId="38" fontId="21" fillId="28" borderId="48" xfId="1" applyNumberFormat="1" applyFont="1" applyFill="1" applyBorder="1" applyAlignment="1">
      <alignment horizontal="center" vertical="center" shrinkToFit="1"/>
    </xf>
    <xf numFmtId="49" fontId="21" fillId="24" borderId="49" xfId="34" applyNumberFormat="1" applyFont="1" applyFill="1" applyBorder="1" applyAlignment="1">
      <alignment horizontal="center" vertical="center"/>
    </xf>
    <xf numFmtId="49" fontId="21" fillId="24" borderId="50" xfId="34" applyNumberFormat="1" applyFont="1" applyFill="1" applyBorder="1" applyAlignment="1">
      <alignment horizontal="center" vertical="center"/>
    </xf>
    <xf numFmtId="38" fontId="26" fillId="27" borderId="51" xfId="34" applyFont="1" applyFill="1" applyBorder="1" applyAlignment="1">
      <alignment horizontal="center" vertical="center" shrinkToFit="1"/>
    </xf>
    <xf numFmtId="38" fontId="26" fillId="27" borderId="52" xfId="34" applyFont="1" applyFill="1" applyBorder="1" applyAlignment="1">
      <alignment horizontal="center" vertical="center" shrinkToFit="1"/>
    </xf>
    <xf numFmtId="38" fontId="21" fillId="24" borderId="49" xfId="34" applyFont="1" applyFill="1" applyBorder="1" applyAlignment="1">
      <alignment horizontal="center" vertical="center" wrapText="1"/>
    </xf>
    <xf numFmtId="38" fontId="21" fillId="24" borderId="50" xfId="34" applyFont="1" applyFill="1" applyBorder="1" applyAlignment="1">
      <alignment horizontal="center" vertical="center" wrapText="1"/>
    </xf>
  </cellXfs>
  <cellStyles count="45">
    <cellStyle name="=C:\WINNT\SYSTEM32\COMMAND.COM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アクセント 1" xfId="20" builtinId="29" customBuiltin="1"/>
    <cellStyle name="アクセント 2" xfId="21" builtinId="33" customBuiltin="1"/>
    <cellStyle name="アクセント 3" xfId="22" builtinId="37" customBuiltin="1"/>
    <cellStyle name="アクセント 4" xfId="23" builtinId="41" customBuiltin="1"/>
    <cellStyle name="アクセント 5" xfId="24" builtinId="45" customBuiltin="1"/>
    <cellStyle name="アクセント 6" xfId="25" builtinId="49" customBuiltin="1"/>
    <cellStyle name="タイトル" xfId="26" builtinId="15" customBuiltin="1"/>
    <cellStyle name="チェック セル" xfId="27" builtinId="23" customBuiltin="1"/>
    <cellStyle name="どちらでもない" xfId="28" builtinId="28" customBuiltin="1"/>
    <cellStyle name="メモ" xfId="29" builtinId="10" customBuiltin="1"/>
    <cellStyle name="リンク セル" xfId="30" builtinId="24" customBuiltin="1"/>
    <cellStyle name="悪い" xfId="31" builtinId="27" customBuiltin="1"/>
    <cellStyle name="計算" xfId="32" builtinId="22" customBuiltin="1"/>
    <cellStyle name="警告文" xfId="33" builtinId="11" customBuiltin="1"/>
    <cellStyle name="桁区切り" xfId="34" builtinId="6"/>
    <cellStyle name="見出し 1" xfId="35" builtinId="16" customBuiltin="1"/>
    <cellStyle name="見出し 2" xfId="36" builtinId="17" customBuiltin="1"/>
    <cellStyle name="見出し 3" xfId="37" builtinId="18" customBuiltin="1"/>
    <cellStyle name="見出し 4" xfId="38" builtinId="19" customBuiltin="1"/>
    <cellStyle name="集計" xfId="39" builtinId="25" customBuiltin="1"/>
    <cellStyle name="出力" xfId="40" builtinId="21" customBuiltin="1"/>
    <cellStyle name="説明文" xfId="41" builtinId="53" customBuiltin="1"/>
    <cellStyle name="入力" xfId="42" builtinId="20" customBuiltin="1"/>
    <cellStyle name="標準" xfId="0" builtinId="0"/>
    <cellStyle name="標準_Sheet1" xfId="43" xr:uid="{00000000-0005-0000-0000-00002B000000}"/>
    <cellStyle name="良い" xfId="44" builtinId="26" customBuiltin="1"/>
  </cellStyles>
  <dxfs count="84"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3366F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CC3399"/>
        </patternFill>
      </fill>
    </dxf>
    <dxf>
      <fill>
        <patternFill>
          <bgColor rgb="FF996633"/>
        </patternFill>
      </fill>
    </dxf>
    <dxf>
      <fill>
        <patternFill>
          <bgColor rgb="FFFF99CC"/>
        </patternFill>
      </fill>
    </dxf>
    <dxf>
      <fill>
        <patternFill>
          <bgColor rgb="FFFF66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663300"/>
        </patternFill>
      </fill>
    </dxf>
    <dxf>
      <fill>
        <patternFill>
          <bgColor theme="9" tint="0.39994506668294322"/>
        </patternFill>
      </fill>
    </dxf>
    <dxf>
      <fill>
        <patternFill>
          <bgColor rgb="FF66FFFF"/>
        </patternFill>
      </fill>
    </dxf>
    <dxf>
      <fill>
        <patternFill>
          <bgColor rgb="FF7030A0"/>
        </patternFill>
      </fill>
    </dxf>
    <dxf>
      <fill>
        <patternFill>
          <bgColor rgb="FF99FF99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0000CC"/>
        </patternFill>
      </fill>
    </dxf>
    <dxf>
      <fill>
        <patternFill>
          <bgColor theme="9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3366F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CC3399"/>
        </patternFill>
      </fill>
    </dxf>
    <dxf>
      <fill>
        <patternFill>
          <bgColor rgb="FF996633"/>
        </patternFill>
      </fill>
    </dxf>
    <dxf>
      <fill>
        <patternFill>
          <bgColor rgb="FFFF99CC"/>
        </patternFill>
      </fill>
    </dxf>
    <dxf>
      <fill>
        <patternFill>
          <bgColor rgb="FFFF66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663300"/>
        </patternFill>
      </fill>
    </dxf>
    <dxf>
      <fill>
        <patternFill>
          <bgColor theme="9" tint="0.39994506668294322"/>
        </patternFill>
      </fill>
    </dxf>
    <dxf>
      <fill>
        <patternFill>
          <bgColor rgb="FF66FFFF"/>
        </patternFill>
      </fill>
    </dxf>
    <dxf>
      <fill>
        <patternFill>
          <bgColor rgb="FF7030A0"/>
        </patternFill>
      </fill>
    </dxf>
    <dxf>
      <fill>
        <patternFill>
          <bgColor rgb="FF99FF99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0000CC"/>
        </patternFill>
      </fill>
    </dxf>
    <dxf>
      <fill>
        <patternFill>
          <bgColor theme="9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3366F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CC3399"/>
        </patternFill>
      </fill>
    </dxf>
    <dxf>
      <fill>
        <patternFill>
          <bgColor rgb="FF996633"/>
        </patternFill>
      </fill>
    </dxf>
    <dxf>
      <fill>
        <patternFill>
          <bgColor rgb="FFFF99CC"/>
        </patternFill>
      </fill>
    </dxf>
    <dxf>
      <fill>
        <patternFill>
          <bgColor rgb="FFFF66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663300"/>
        </patternFill>
      </fill>
    </dxf>
    <dxf>
      <fill>
        <patternFill>
          <bgColor theme="9" tint="0.39994506668294322"/>
        </patternFill>
      </fill>
    </dxf>
    <dxf>
      <fill>
        <patternFill>
          <bgColor rgb="FF66FFFF"/>
        </patternFill>
      </fill>
    </dxf>
    <dxf>
      <fill>
        <patternFill>
          <bgColor rgb="FF7030A0"/>
        </patternFill>
      </fill>
    </dxf>
    <dxf>
      <fill>
        <patternFill>
          <bgColor rgb="FF99FF99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0000CC"/>
        </patternFill>
      </fill>
    </dxf>
    <dxf>
      <fill>
        <patternFill>
          <bgColor theme="9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3366F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CC3399"/>
        </patternFill>
      </fill>
    </dxf>
    <dxf>
      <fill>
        <patternFill>
          <bgColor rgb="FF996633"/>
        </patternFill>
      </fill>
    </dxf>
    <dxf>
      <fill>
        <patternFill>
          <bgColor rgb="FFFF99CC"/>
        </patternFill>
      </fill>
    </dxf>
    <dxf>
      <fill>
        <patternFill>
          <bgColor rgb="FFFF66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663300"/>
        </patternFill>
      </fill>
    </dxf>
    <dxf>
      <fill>
        <patternFill>
          <bgColor theme="9" tint="0.39994506668294322"/>
        </patternFill>
      </fill>
    </dxf>
    <dxf>
      <fill>
        <patternFill>
          <bgColor rgb="FF66FFFF"/>
        </patternFill>
      </fill>
    </dxf>
    <dxf>
      <fill>
        <patternFill>
          <bgColor rgb="FF7030A0"/>
        </patternFill>
      </fill>
    </dxf>
    <dxf>
      <fill>
        <patternFill>
          <bgColor rgb="FF99FF99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0000CC"/>
        </patternFill>
      </fill>
    </dxf>
    <dxf>
      <fill>
        <patternFill>
          <bgColor theme="9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340858</xdr:colOff>
      <xdr:row>0</xdr:row>
      <xdr:rowOff>97971</xdr:rowOff>
    </xdr:from>
    <xdr:to>
      <xdr:col>4</xdr:col>
      <xdr:colOff>467486</xdr:colOff>
      <xdr:row>2</xdr:row>
      <xdr:rowOff>92528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389414" y="97971"/>
          <a:ext cx="821872" cy="342900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kumimoji="1" lang="ja-JP" altLang="en-US" sz="1600"/>
            <a:t>教　卓</a:t>
          </a:r>
        </a:p>
      </xdr:txBody>
    </xdr:sp>
    <xdr:clientData/>
  </xdr:twoCellAnchor>
  <xdr:twoCellAnchor>
    <xdr:from>
      <xdr:col>3</xdr:col>
      <xdr:colOff>283123</xdr:colOff>
      <xdr:row>19</xdr:row>
      <xdr:rowOff>115284</xdr:rowOff>
    </xdr:from>
    <xdr:to>
      <xdr:col>4</xdr:col>
      <xdr:colOff>409649</xdr:colOff>
      <xdr:row>22</xdr:row>
      <xdr:rowOff>33816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264776" y="5826671"/>
          <a:ext cx="819245" cy="434678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kumimoji="1" lang="ja-JP" altLang="en-US" sz="1600"/>
            <a:t>教　卓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1</xdr:row>
          <xdr:rowOff>19050</xdr:rowOff>
        </xdr:from>
        <xdr:to>
          <xdr:col>8</xdr:col>
          <xdr:colOff>395288</xdr:colOff>
          <xdr:row>3</xdr:row>
          <xdr:rowOff>76200</xdr:rowOff>
        </xdr:to>
        <xdr:sp macro="" textlink="">
          <xdr:nvSpPr>
            <xdr:cNvPr id="25610" name="CommandButton1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4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3</xdr:row>
          <xdr:rowOff>133350</xdr:rowOff>
        </xdr:from>
        <xdr:to>
          <xdr:col>8</xdr:col>
          <xdr:colOff>395288</xdr:colOff>
          <xdr:row>4</xdr:row>
          <xdr:rowOff>38100</xdr:rowOff>
        </xdr:to>
        <xdr:sp macro="" textlink="">
          <xdr:nvSpPr>
            <xdr:cNvPr id="25615" name="CommandButton2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4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4</xdr:row>
          <xdr:rowOff>104775</xdr:rowOff>
        </xdr:from>
        <xdr:to>
          <xdr:col>8</xdr:col>
          <xdr:colOff>395288</xdr:colOff>
          <xdr:row>5</xdr:row>
          <xdr:rowOff>9525</xdr:rowOff>
        </xdr:to>
        <xdr:sp macro="" textlink="">
          <xdr:nvSpPr>
            <xdr:cNvPr id="25616" name="CommandButton3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4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340858</xdr:colOff>
      <xdr:row>0</xdr:row>
      <xdr:rowOff>97971</xdr:rowOff>
    </xdr:from>
    <xdr:to>
      <xdr:col>4</xdr:col>
      <xdr:colOff>467486</xdr:colOff>
      <xdr:row>2</xdr:row>
      <xdr:rowOff>92528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2298246" y="97971"/>
          <a:ext cx="936172" cy="280307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kumimoji="1" lang="ja-JP" altLang="en-US" sz="1600"/>
            <a:t>教　卓</a:t>
          </a:r>
        </a:p>
      </xdr:txBody>
    </xdr:sp>
    <xdr:clientData/>
  </xdr:twoCellAnchor>
  <xdr:twoCellAnchor>
    <xdr:from>
      <xdr:col>3</xdr:col>
      <xdr:colOff>283123</xdr:colOff>
      <xdr:row>19</xdr:row>
      <xdr:rowOff>115284</xdr:rowOff>
    </xdr:from>
    <xdr:to>
      <xdr:col>4</xdr:col>
      <xdr:colOff>409649</xdr:colOff>
      <xdr:row>22</xdr:row>
      <xdr:rowOff>33816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2235748" y="6058884"/>
          <a:ext cx="936172" cy="433036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kumimoji="1" lang="ja-JP" altLang="en-US" sz="1600"/>
            <a:t>教　卓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1</xdr:row>
          <xdr:rowOff>19050</xdr:rowOff>
        </xdr:from>
        <xdr:to>
          <xdr:col>8</xdr:col>
          <xdr:colOff>395288</xdr:colOff>
          <xdr:row>3</xdr:row>
          <xdr:rowOff>76200</xdr:rowOff>
        </xdr:to>
        <xdr:sp macro="" textlink="">
          <xdr:nvSpPr>
            <xdr:cNvPr id="75777" name="CommandButton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7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3</xdr:row>
          <xdr:rowOff>133350</xdr:rowOff>
        </xdr:from>
        <xdr:to>
          <xdr:col>8</xdr:col>
          <xdr:colOff>395288</xdr:colOff>
          <xdr:row>4</xdr:row>
          <xdr:rowOff>38100</xdr:rowOff>
        </xdr:to>
        <xdr:sp macro="" textlink="">
          <xdr:nvSpPr>
            <xdr:cNvPr id="75778" name="CommandButton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7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4</xdr:row>
          <xdr:rowOff>104775</xdr:rowOff>
        </xdr:from>
        <xdr:to>
          <xdr:col>8</xdr:col>
          <xdr:colOff>395288</xdr:colOff>
          <xdr:row>5</xdr:row>
          <xdr:rowOff>9525</xdr:rowOff>
        </xdr:to>
        <xdr:sp macro="" textlink="">
          <xdr:nvSpPr>
            <xdr:cNvPr id="75779" name="CommandButton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7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340858</xdr:colOff>
      <xdr:row>0</xdr:row>
      <xdr:rowOff>97971</xdr:rowOff>
    </xdr:from>
    <xdr:to>
      <xdr:col>4</xdr:col>
      <xdr:colOff>467486</xdr:colOff>
      <xdr:row>2</xdr:row>
      <xdr:rowOff>92528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2298246" y="97971"/>
          <a:ext cx="936172" cy="280307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kumimoji="1" lang="ja-JP" altLang="en-US" sz="1600"/>
            <a:t>教　卓</a:t>
          </a:r>
        </a:p>
      </xdr:txBody>
    </xdr:sp>
    <xdr:clientData/>
  </xdr:twoCellAnchor>
  <xdr:twoCellAnchor>
    <xdr:from>
      <xdr:col>3</xdr:col>
      <xdr:colOff>283123</xdr:colOff>
      <xdr:row>19</xdr:row>
      <xdr:rowOff>115284</xdr:rowOff>
    </xdr:from>
    <xdr:to>
      <xdr:col>4</xdr:col>
      <xdr:colOff>409649</xdr:colOff>
      <xdr:row>22</xdr:row>
      <xdr:rowOff>33816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235748" y="6058884"/>
          <a:ext cx="936172" cy="433036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kumimoji="1" lang="ja-JP" altLang="en-US" sz="1600"/>
            <a:t>教　卓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1</xdr:row>
          <xdr:rowOff>19050</xdr:rowOff>
        </xdr:from>
        <xdr:to>
          <xdr:col>8</xdr:col>
          <xdr:colOff>395288</xdr:colOff>
          <xdr:row>3</xdr:row>
          <xdr:rowOff>76200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8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3</xdr:row>
          <xdr:rowOff>133350</xdr:rowOff>
        </xdr:from>
        <xdr:to>
          <xdr:col>8</xdr:col>
          <xdr:colOff>395288</xdr:colOff>
          <xdr:row>4</xdr:row>
          <xdr:rowOff>38100</xdr:rowOff>
        </xdr:to>
        <xdr:sp macro="" textlink="">
          <xdr:nvSpPr>
            <xdr:cNvPr id="76802" name="CommandButton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8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4</xdr:row>
          <xdr:rowOff>104775</xdr:rowOff>
        </xdr:from>
        <xdr:to>
          <xdr:col>8</xdr:col>
          <xdr:colOff>395288</xdr:colOff>
          <xdr:row>5</xdr:row>
          <xdr:rowOff>9525</xdr:rowOff>
        </xdr:to>
        <xdr:sp macro="" textlink="">
          <xdr:nvSpPr>
            <xdr:cNvPr id="76803" name="CommandButton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8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317626</xdr:colOff>
      <xdr:row>0</xdr:row>
      <xdr:rowOff>74739</xdr:rowOff>
    </xdr:from>
    <xdr:to>
      <xdr:col>3</xdr:col>
      <xdr:colOff>448917</xdr:colOff>
      <xdr:row>2</xdr:row>
      <xdr:rowOff>69296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475146" y="74739"/>
          <a:ext cx="935243" cy="282630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kumimoji="1" lang="ja-JP" altLang="en-US" sz="1600"/>
            <a:t>教　卓</a:t>
          </a:r>
        </a:p>
      </xdr:txBody>
    </xdr:sp>
    <xdr:clientData/>
  </xdr:twoCellAnchor>
  <xdr:twoCellAnchor>
    <xdr:from>
      <xdr:col>3</xdr:col>
      <xdr:colOff>283123</xdr:colOff>
      <xdr:row>19</xdr:row>
      <xdr:rowOff>115284</xdr:rowOff>
    </xdr:from>
    <xdr:to>
      <xdr:col>4</xdr:col>
      <xdr:colOff>409685</xdr:colOff>
      <xdr:row>22</xdr:row>
      <xdr:rowOff>33834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235748" y="6058884"/>
          <a:ext cx="936172" cy="433036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kumimoji="1" lang="ja-JP" altLang="en-US" sz="1600"/>
            <a:t>教　卓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1</xdr:row>
          <xdr:rowOff>19050</xdr:rowOff>
        </xdr:from>
        <xdr:to>
          <xdr:col>8</xdr:col>
          <xdr:colOff>400050</xdr:colOff>
          <xdr:row>3</xdr:row>
          <xdr:rowOff>76200</xdr:rowOff>
        </xdr:to>
        <xdr:sp macro="" textlink="">
          <xdr:nvSpPr>
            <xdr:cNvPr id="74753" name="CommandButton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3</xdr:row>
          <xdr:rowOff>133350</xdr:rowOff>
        </xdr:from>
        <xdr:to>
          <xdr:col>8</xdr:col>
          <xdr:colOff>400050</xdr:colOff>
          <xdr:row>4</xdr:row>
          <xdr:rowOff>38100</xdr:rowOff>
        </xdr:to>
        <xdr:sp macro="" textlink="">
          <xdr:nvSpPr>
            <xdr:cNvPr id="74754" name="CommandButton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9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233363</xdr:colOff>
          <xdr:row>4</xdr:row>
          <xdr:rowOff>104775</xdr:rowOff>
        </xdr:from>
        <xdr:to>
          <xdr:col>8</xdr:col>
          <xdr:colOff>400050</xdr:colOff>
          <xdr:row>5</xdr:row>
          <xdr:rowOff>9525</xdr:rowOff>
        </xdr:to>
        <xdr:sp macro="" textlink="">
          <xdr:nvSpPr>
            <xdr:cNvPr id="74755" name="CommandButton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9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13"/>
  <sheetViews>
    <sheetView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ColWidth="9" defaultRowHeight="10.5" x14ac:dyDescent="0.25"/>
  <cols>
    <col min="1" max="1" width="14.265625" style="6" customWidth="1"/>
    <col min="2" max="2" width="9.73046875" style="6" customWidth="1"/>
    <col min="3" max="3" width="12.59765625" style="6" customWidth="1"/>
    <col min="4" max="4" width="12.73046875" style="6" customWidth="1"/>
    <col min="5" max="7" width="11.59765625" style="6" customWidth="1"/>
    <col min="8" max="16384" width="9" style="6"/>
  </cols>
  <sheetData>
    <row r="2" spans="1:8" ht="14.25" customHeight="1" thickBot="1" x14ac:dyDescent="0.3">
      <c r="A2" s="12"/>
      <c r="B2" s="1"/>
      <c r="D2" s="11"/>
      <c r="E2" s="2"/>
      <c r="F2" s="2"/>
      <c r="G2" s="2"/>
      <c r="H2" s="3"/>
    </row>
    <row r="3" spans="1:8" ht="13.5" customHeight="1" thickBot="1" x14ac:dyDescent="0.3">
      <c r="A3" s="73" t="s">
        <v>7</v>
      </c>
      <c r="B3" s="4"/>
      <c r="C3" s="75" t="s">
        <v>6</v>
      </c>
      <c r="D3" s="76"/>
      <c r="E3" s="70"/>
      <c r="F3" s="71"/>
      <c r="G3" s="72"/>
      <c r="H3" s="3"/>
    </row>
    <row r="4" spans="1:8" ht="14.25" customHeight="1" thickTop="1" thickBot="1" x14ac:dyDescent="0.3">
      <c r="A4" s="74"/>
      <c r="B4" s="5"/>
      <c r="C4" s="16" t="s">
        <v>0</v>
      </c>
      <c r="D4" s="13" t="s">
        <v>5</v>
      </c>
      <c r="E4" s="33" t="s">
        <v>0</v>
      </c>
      <c r="F4" s="34" t="s">
        <v>2</v>
      </c>
      <c r="G4" s="35" t="s">
        <v>1</v>
      </c>
      <c r="H4" s="3"/>
    </row>
    <row r="5" spans="1:8" s="19" customFormat="1" ht="30.75" customHeight="1" thickTop="1" thickBot="1" x14ac:dyDescent="0.3">
      <c r="A5" s="32" t="s">
        <v>8</v>
      </c>
      <c r="B5" s="32"/>
      <c r="C5" s="17">
        <f>SUM(C6:C100)</f>
        <v>0</v>
      </c>
      <c r="D5" s="17">
        <f>SUM(D6:D100)</f>
        <v>0</v>
      </c>
      <c r="E5" s="17">
        <f>SUM(E6:E100)</f>
        <v>0</v>
      </c>
      <c r="F5" s="17">
        <f>SUM(F6:F100)</f>
        <v>0</v>
      </c>
      <c r="G5" s="44">
        <f>SUM(G6:G100)</f>
        <v>0</v>
      </c>
      <c r="H5" s="18"/>
    </row>
    <row r="6" spans="1:8" s="19" customFormat="1" ht="17.25" customHeight="1" x14ac:dyDescent="0.25">
      <c r="A6" s="77"/>
      <c r="B6" s="20" t="s">
        <v>3</v>
      </c>
      <c r="C6" s="21"/>
      <c r="D6" s="22"/>
      <c r="E6" s="23"/>
      <c r="F6" s="24">
        <f>E6-G6</f>
        <v>0</v>
      </c>
      <c r="G6" s="25"/>
      <c r="H6" s="18"/>
    </row>
    <row r="7" spans="1:8" s="19" customFormat="1" ht="17.25" customHeight="1" thickBot="1" x14ac:dyDescent="0.3">
      <c r="A7" s="78"/>
      <c r="B7" s="26" t="s">
        <v>4</v>
      </c>
      <c r="C7" s="27"/>
      <c r="D7" s="28"/>
      <c r="E7" s="29">
        <v>0</v>
      </c>
      <c r="F7" s="30">
        <f>E7-G7</f>
        <v>0</v>
      </c>
      <c r="G7" s="31">
        <v>0</v>
      </c>
      <c r="H7" s="18"/>
    </row>
    <row r="8" spans="1:8" s="8" customFormat="1" ht="13.5" customHeight="1" x14ac:dyDescent="0.25">
      <c r="A8" s="7"/>
      <c r="B8" s="7"/>
      <c r="C8" s="14"/>
      <c r="D8" s="15"/>
      <c r="E8" s="7"/>
      <c r="F8" s="7"/>
      <c r="G8" s="7"/>
      <c r="H8" s="7"/>
    </row>
    <row r="9" spans="1:8" ht="12.95" customHeight="1" x14ac:dyDescent="0.25">
      <c r="C9" s="10"/>
      <c r="D9" s="10"/>
    </row>
    <row r="10" spans="1:8" ht="12.95" customHeight="1" x14ac:dyDescent="0.25">
      <c r="C10" s="9"/>
      <c r="D10" s="9"/>
    </row>
    <row r="11" spans="1:8" ht="12.95" customHeight="1" x14ac:dyDescent="0.25"/>
    <row r="12" spans="1:8" ht="12.95" customHeight="1" x14ac:dyDescent="0.25"/>
    <row r="13" spans="1:8" ht="12.95" customHeight="1" x14ac:dyDescent="0.25"/>
  </sheetData>
  <customSheetViews>
    <customSheetView guid="{EF036C93-D6B9-4860-9D56-5672E7D4C70F}">
      <pane xSplit="2" ySplit="4" topLeftCell="C8" activePane="bottomRight" state="frozen"/>
      <selection pane="bottomRight" activeCell="I16" sqref="I16"/>
      <pageMargins left="0.7" right="0.7" top="0.75" bottom="0.75" header="0.3" footer="0.3"/>
      <pageSetup paperSize="9" orientation="portrait" r:id="rId1"/>
    </customSheetView>
    <customSheetView guid="{6352524E-88E7-48FC-962E-2C1F12CD8651}">
      <pane xSplit="2" ySplit="4" topLeftCell="C5" activePane="bottomRight" state="frozen"/>
      <selection pane="bottomRight" activeCell="A2" sqref="A2"/>
      <pageMargins left="0.7" right="0.7" top="0.75" bottom="0.75" header="0.3" footer="0.3"/>
      <pageSetup paperSize="9" orientation="portrait" r:id="rId2"/>
    </customSheetView>
    <customSheetView guid="{34C30F08-3E95-42E2-A49F-E3CD70EEC615}" scale="90">
      <pane xSplit="2" ySplit="4" topLeftCell="C5" activePane="bottomRight" state="frozen"/>
      <selection pane="bottomRight" activeCell="F19" sqref="F19"/>
      <pageMargins left="0.7" right="0.7" top="0.75" bottom="0.75" header="0.3" footer="0.3"/>
      <pageSetup paperSize="9" orientation="portrait" r:id="rId3"/>
    </customSheetView>
    <customSheetView guid="{981BB16A-C522-4B37-8AC0-F44F21E66E0A}">
      <pane xSplit="2" ySplit="4" topLeftCell="C5" activePane="bottomRight" state="frozen"/>
      <selection pane="bottomRight" activeCell="G53" sqref="G53"/>
      <pageMargins left="0.7" right="0.7" top="0.75" bottom="0.75" header="0.3" footer="0.3"/>
      <pageSetup paperSize="9" orientation="portrait" r:id="rId4"/>
    </customSheetView>
  </customSheetViews>
  <mergeCells count="4">
    <mergeCell ref="E3:G3"/>
    <mergeCell ref="A3:A4"/>
    <mergeCell ref="C3:D3"/>
    <mergeCell ref="A6:A7"/>
  </mergeCells>
  <phoneticPr fontId="20"/>
  <pageMargins left="0.7" right="0.7" top="0.75" bottom="0.75" header="0.3" footer="0.3"/>
  <pageSetup paperSize="9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83"/>
  <sheetViews>
    <sheetView workbookViewId="0">
      <selection sqref="A1:E65536"/>
    </sheetView>
  </sheetViews>
  <sheetFormatPr defaultRowHeight="12.75" x14ac:dyDescent="0.25"/>
  <cols>
    <col min="1" max="2" width="21" customWidth="1"/>
    <col min="3" max="5" width="14.1328125" bestFit="1" customWidth="1"/>
    <col min="7" max="7" width="13.1328125" customWidth="1"/>
    <col min="8" max="8" width="12.46484375" bestFit="1" customWidth="1"/>
  </cols>
  <sheetData>
    <row r="1" spans="1:8" x14ac:dyDescent="0.25">
      <c r="G1" s="36" t="s">
        <v>44</v>
      </c>
      <c r="H1" t="s">
        <v>43</v>
      </c>
    </row>
    <row r="2" spans="1:8" x14ac:dyDescent="0.25">
      <c r="G2" s="46" t="s">
        <v>68</v>
      </c>
      <c r="H2" s="46" t="s">
        <v>69</v>
      </c>
    </row>
    <row r="3" spans="1:8" x14ac:dyDescent="0.25">
      <c r="A3" s="36" t="s">
        <v>50</v>
      </c>
      <c r="B3" s="36" t="s">
        <v>51</v>
      </c>
      <c r="C3" s="40" t="s">
        <v>40</v>
      </c>
      <c r="D3" s="40" t="s">
        <v>41</v>
      </c>
      <c r="E3" s="40" t="s">
        <v>42</v>
      </c>
      <c r="F3" t="s">
        <v>43</v>
      </c>
    </row>
    <row r="4" spans="1:8" x14ac:dyDescent="0.25">
      <c r="C4" s="41"/>
      <c r="D4" s="41"/>
      <c r="E4" s="41"/>
      <c r="F4" t="str">
        <f t="shared" ref="F4:F68" si="0">IF(B4="","",IF(F3&lt;&gt;"",F3,A3))</f>
        <v/>
      </c>
    </row>
    <row r="5" spans="1:8" ht="14.25" x14ac:dyDescent="0.25">
      <c r="A5" s="37" t="s">
        <v>52</v>
      </c>
      <c r="B5" s="38"/>
      <c r="C5" s="42">
        <v>111480671</v>
      </c>
      <c r="D5" s="42">
        <v>101928191</v>
      </c>
      <c r="E5" s="42">
        <v>9588465.5</v>
      </c>
      <c r="F5" t="str">
        <f t="shared" si="0"/>
        <v/>
      </c>
    </row>
    <row r="6" spans="1:8" x14ac:dyDescent="0.25">
      <c r="B6" t="s">
        <v>53</v>
      </c>
      <c r="C6" s="41">
        <v>150000</v>
      </c>
      <c r="D6" s="41">
        <v>0</v>
      </c>
      <c r="E6" s="41">
        <v>150000</v>
      </c>
      <c r="F6" t="str">
        <f t="shared" si="0"/>
        <v>総計</v>
      </c>
    </row>
    <row r="7" spans="1:8" x14ac:dyDescent="0.25">
      <c r="B7" t="s">
        <v>54</v>
      </c>
      <c r="C7" s="41">
        <v>100752880</v>
      </c>
      <c r="D7" s="41">
        <v>95861749</v>
      </c>
      <c r="E7" s="41">
        <v>4927116.5</v>
      </c>
      <c r="F7" t="str">
        <f t="shared" si="0"/>
        <v>総計</v>
      </c>
    </row>
    <row r="8" spans="1:8" x14ac:dyDescent="0.25">
      <c r="B8" t="s">
        <v>55</v>
      </c>
      <c r="C8" s="41">
        <v>3000</v>
      </c>
      <c r="D8" s="41">
        <v>6755</v>
      </c>
      <c r="E8" s="41">
        <v>-3755</v>
      </c>
      <c r="F8" t="str">
        <f t="shared" si="0"/>
        <v>総計</v>
      </c>
    </row>
    <row r="9" spans="1:8" x14ac:dyDescent="0.25">
      <c r="B9" t="s">
        <v>56</v>
      </c>
      <c r="C9" s="41">
        <v>2941465</v>
      </c>
      <c r="D9" s="41">
        <v>419715</v>
      </c>
      <c r="E9" s="41">
        <v>2521750</v>
      </c>
      <c r="F9" t="str">
        <f t="shared" si="0"/>
        <v>総計</v>
      </c>
    </row>
    <row r="10" spans="1:8" x14ac:dyDescent="0.25">
      <c r="B10" t="s">
        <v>57</v>
      </c>
      <c r="C10" s="41">
        <v>1220000</v>
      </c>
      <c r="D10" s="41">
        <v>1616000</v>
      </c>
      <c r="E10" s="41">
        <v>-396000</v>
      </c>
      <c r="F10" t="str">
        <f t="shared" si="0"/>
        <v>総計</v>
      </c>
    </row>
    <row r="11" spans="1:8" x14ac:dyDescent="0.25">
      <c r="B11" t="s">
        <v>58</v>
      </c>
      <c r="C11" s="41">
        <v>290120</v>
      </c>
      <c r="D11" s="41">
        <v>1232</v>
      </c>
      <c r="E11" s="41">
        <v>288888</v>
      </c>
      <c r="F11" t="str">
        <f t="shared" si="0"/>
        <v>総計</v>
      </c>
    </row>
    <row r="12" spans="1:8" x14ac:dyDescent="0.25">
      <c r="B12" t="s">
        <v>59</v>
      </c>
      <c r="C12" s="41">
        <v>0</v>
      </c>
      <c r="D12" s="41">
        <v>0</v>
      </c>
      <c r="E12" s="41">
        <v>0</v>
      </c>
      <c r="F12" t="str">
        <f t="shared" si="0"/>
        <v>総計</v>
      </c>
    </row>
    <row r="13" spans="1:8" x14ac:dyDescent="0.25">
      <c r="B13" t="s">
        <v>60</v>
      </c>
      <c r="C13" s="41">
        <v>0</v>
      </c>
      <c r="D13" s="41">
        <v>0</v>
      </c>
      <c r="E13" s="41">
        <v>0</v>
      </c>
      <c r="F13" t="str">
        <f t="shared" si="0"/>
        <v>総計</v>
      </c>
    </row>
    <row r="14" spans="1:8" x14ac:dyDescent="0.25">
      <c r="B14" t="s">
        <v>61</v>
      </c>
      <c r="C14" s="41">
        <v>761315</v>
      </c>
      <c r="D14" s="41">
        <v>278967</v>
      </c>
      <c r="E14" s="41">
        <v>482348</v>
      </c>
      <c r="F14" t="str">
        <f t="shared" si="0"/>
        <v>総計</v>
      </c>
    </row>
    <row r="15" spans="1:8" x14ac:dyDescent="0.25">
      <c r="B15" t="s">
        <v>62</v>
      </c>
      <c r="C15" s="41">
        <v>20000</v>
      </c>
      <c r="D15" s="41">
        <v>0</v>
      </c>
      <c r="E15" s="41">
        <v>20000</v>
      </c>
      <c r="F15" t="str">
        <f t="shared" si="0"/>
        <v>総計</v>
      </c>
    </row>
    <row r="16" spans="1:8" x14ac:dyDescent="0.25">
      <c r="B16" t="s">
        <v>63</v>
      </c>
      <c r="C16" s="41">
        <v>0</v>
      </c>
      <c r="D16" s="41">
        <v>0</v>
      </c>
      <c r="E16" s="41">
        <v>0</v>
      </c>
      <c r="F16" t="str">
        <f t="shared" si="0"/>
        <v>総計</v>
      </c>
    </row>
    <row r="17" spans="1:6" x14ac:dyDescent="0.25">
      <c r="B17" t="s">
        <v>64</v>
      </c>
      <c r="C17" s="41">
        <v>43327</v>
      </c>
      <c r="D17" s="41">
        <v>36828</v>
      </c>
      <c r="E17" s="41">
        <v>6499</v>
      </c>
      <c r="F17" t="str">
        <f t="shared" si="0"/>
        <v>総計</v>
      </c>
    </row>
    <row r="18" spans="1:6" x14ac:dyDescent="0.25">
      <c r="B18" t="s">
        <v>65</v>
      </c>
      <c r="C18" s="41">
        <v>10964</v>
      </c>
      <c r="D18" s="41">
        <v>0</v>
      </c>
      <c r="E18" s="41">
        <v>10964</v>
      </c>
      <c r="F18" t="str">
        <f t="shared" si="0"/>
        <v>総計</v>
      </c>
    </row>
    <row r="19" spans="1:6" x14ac:dyDescent="0.25">
      <c r="B19" t="s">
        <v>66</v>
      </c>
      <c r="C19" s="41">
        <v>5287600</v>
      </c>
      <c r="D19" s="41">
        <v>3706945</v>
      </c>
      <c r="E19" s="41">
        <v>1580655</v>
      </c>
      <c r="F19" t="str">
        <f t="shared" si="0"/>
        <v>総計</v>
      </c>
    </row>
    <row r="20" spans="1:6" x14ac:dyDescent="0.25">
      <c r="B20" t="s">
        <v>39</v>
      </c>
      <c r="C20" s="41">
        <v>0</v>
      </c>
      <c r="D20" s="41">
        <v>0</v>
      </c>
      <c r="E20" s="41">
        <v>0</v>
      </c>
      <c r="F20" t="str">
        <f t="shared" si="0"/>
        <v>総計</v>
      </c>
    </row>
    <row r="21" spans="1:6" x14ac:dyDescent="0.25">
      <c r="B21" t="s">
        <v>67</v>
      </c>
      <c r="C21" s="41"/>
      <c r="D21" s="41"/>
      <c r="E21" s="41"/>
      <c r="F21" t="str">
        <f t="shared" si="0"/>
        <v>総計</v>
      </c>
    </row>
    <row r="22" spans="1:6" x14ac:dyDescent="0.25">
      <c r="C22" s="41"/>
      <c r="D22" s="41"/>
      <c r="E22" s="41"/>
      <c r="F22" t="str">
        <f t="shared" si="0"/>
        <v/>
      </c>
    </row>
    <row r="23" spans="1:6" ht="14.25" x14ac:dyDescent="0.25">
      <c r="A23" s="38" t="s">
        <v>46</v>
      </c>
      <c r="B23" s="38"/>
      <c r="C23" s="42">
        <v>0</v>
      </c>
      <c r="D23" s="42">
        <v>0</v>
      </c>
      <c r="E23" s="42">
        <v>0</v>
      </c>
      <c r="F23" t="str">
        <f t="shared" si="0"/>
        <v/>
      </c>
    </row>
    <row r="24" spans="1:6" x14ac:dyDescent="0.25">
      <c r="A24" s="39"/>
      <c r="B24" s="39" t="s">
        <v>54</v>
      </c>
      <c r="C24" s="41">
        <v>0</v>
      </c>
      <c r="D24" s="41">
        <v>0</v>
      </c>
      <c r="E24" s="41">
        <v>0</v>
      </c>
      <c r="F24" t="str">
        <f t="shared" si="0"/>
        <v>AppBroadCast</v>
      </c>
    </row>
    <row r="25" spans="1:6" x14ac:dyDescent="0.25">
      <c r="A25" s="39"/>
      <c r="B25" s="39" t="s">
        <v>58</v>
      </c>
      <c r="C25" s="41">
        <v>0</v>
      </c>
      <c r="D25" s="41">
        <v>0</v>
      </c>
      <c r="E25" s="41">
        <v>0</v>
      </c>
      <c r="F25" t="str">
        <f t="shared" si="0"/>
        <v>AppBroadCast</v>
      </c>
    </row>
    <row r="26" spans="1:6" x14ac:dyDescent="0.25">
      <c r="A26" s="39"/>
      <c r="B26" s="39"/>
      <c r="C26" s="41"/>
      <c r="D26" s="41"/>
      <c r="E26" s="41"/>
      <c r="F26" t="str">
        <f t="shared" si="0"/>
        <v/>
      </c>
    </row>
    <row r="27" spans="1:6" ht="14.25" x14ac:dyDescent="0.25">
      <c r="A27" s="38" t="s">
        <v>45</v>
      </c>
      <c r="B27" s="38"/>
      <c r="C27" s="42">
        <v>10964</v>
      </c>
      <c r="D27" s="42">
        <v>0</v>
      </c>
      <c r="E27" s="42">
        <v>10964</v>
      </c>
      <c r="F27" t="str">
        <f t="shared" si="0"/>
        <v/>
      </c>
    </row>
    <row r="28" spans="1:6" x14ac:dyDescent="0.25">
      <c r="A28" s="39"/>
      <c r="B28" s="39" t="s">
        <v>65</v>
      </c>
      <c r="C28" s="41">
        <v>10964</v>
      </c>
      <c r="D28" s="41">
        <v>0</v>
      </c>
      <c r="E28" s="41">
        <v>10964</v>
      </c>
      <c r="F28" t="str">
        <f t="shared" si="0"/>
        <v>Endlle・Japan</v>
      </c>
    </row>
    <row r="29" spans="1:6" x14ac:dyDescent="0.25">
      <c r="A29" s="39"/>
      <c r="B29" s="39"/>
      <c r="C29" s="41"/>
      <c r="D29" s="41"/>
      <c r="E29" s="41"/>
      <c r="F29" t="str">
        <f t="shared" si="0"/>
        <v/>
      </c>
    </row>
    <row r="30" spans="1:6" ht="14.25" x14ac:dyDescent="0.25">
      <c r="A30" s="38" t="s">
        <v>9</v>
      </c>
      <c r="B30" s="38"/>
      <c r="C30" s="42">
        <v>455000</v>
      </c>
      <c r="D30" s="42">
        <v>420000</v>
      </c>
      <c r="E30" s="42">
        <v>35000</v>
      </c>
      <c r="F30" t="str">
        <f t="shared" si="0"/>
        <v/>
      </c>
    </row>
    <row r="31" spans="1:6" x14ac:dyDescent="0.25">
      <c r="A31" s="39"/>
      <c r="B31" s="39" t="s">
        <v>54</v>
      </c>
      <c r="C31" s="41">
        <v>455000</v>
      </c>
      <c r="D31" s="41">
        <v>420000</v>
      </c>
      <c r="E31" s="41">
        <v>35000</v>
      </c>
      <c r="F31" t="str">
        <f t="shared" si="0"/>
        <v>NECﾋﾞｯｸﾞﾛｰﾌﾞ</v>
      </c>
    </row>
    <row r="32" spans="1:6" x14ac:dyDescent="0.25">
      <c r="A32" s="39"/>
      <c r="B32" s="39"/>
      <c r="C32" s="41"/>
      <c r="D32" s="41"/>
      <c r="E32" s="41"/>
      <c r="F32" t="str">
        <f t="shared" si="0"/>
        <v/>
      </c>
    </row>
    <row r="33" spans="1:6" ht="14.25" x14ac:dyDescent="0.25">
      <c r="A33" s="38" t="s">
        <v>10</v>
      </c>
      <c r="B33" s="38"/>
      <c r="C33" s="42">
        <v>0</v>
      </c>
      <c r="D33" s="42">
        <v>0</v>
      </c>
      <c r="E33" s="42">
        <v>0</v>
      </c>
      <c r="F33" t="str">
        <f t="shared" si="0"/>
        <v/>
      </c>
    </row>
    <row r="34" spans="1:6" x14ac:dyDescent="0.25">
      <c r="A34" s="39"/>
      <c r="B34" s="39" t="s">
        <v>54</v>
      </c>
      <c r="C34" s="41">
        <v>0</v>
      </c>
      <c r="D34" s="41">
        <v>0</v>
      </c>
      <c r="E34" s="41">
        <v>0</v>
      </c>
      <c r="F34" t="str">
        <f t="shared" si="0"/>
        <v>SBIﾗｲﾌﾘﾋﾞﾝｸﾞ</v>
      </c>
    </row>
    <row r="35" spans="1:6" x14ac:dyDescent="0.25">
      <c r="A35" s="39"/>
      <c r="B35" s="39"/>
      <c r="C35" s="41"/>
      <c r="D35" s="41"/>
      <c r="E35" s="41"/>
      <c r="F35" t="str">
        <f t="shared" si="0"/>
        <v/>
      </c>
    </row>
    <row r="36" spans="1:6" ht="14.25" x14ac:dyDescent="0.25">
      <c r="A36" s="38" t="s">
        <v>11</v>
      </c>
      <c r="B36" s="38"/>
      <c r="C36" s="42">
        <v>72564035</v>
      </c>
      <c r="D36" s="42">
        <v>71114010</v>
      </c>
      <c r="E36" s="42">
        <v>1464455</v>
      </c>
      <c r="F36" t="str">
        <f t="shared" si="0"/>
        <v/>
      </c>
    </row>
    <row r="37" spans="1:6" x14ac:dyDescent="0.25">
      <c r="A37" s="39"/>
      <c r="B37" s="39" t="s">
        <v>54</v>
      </c>
      <c r="C37" s="41">
        <v>72560135</v>
      </c>
      <c r="D37" s="41">
        <v>71114010</v>
      </c>
      <c r="E37" s="41">
        <v>1460555</v>
      </c>
      <c r="F37" t="str">
        <f t="shared" si="0"/>
        <v>T-MEDIAﾎｰﾙﾃﾞｨﾝｸﾞｽ</v>
      </c>
    </row>
    <row r="38" spans="1:6" x14ac:dyDescent="0.25">
      <c r="A38" s="39"/>
      <c r="B38" s="39" t="s">
        <v>56</v>
      </c>
      <c r="C38" s="41">
        <v>0</v>
      </c>
      <c r="D38" s="41">
        <v>0</v>
      </c>
      <c r="E38" s="41">
        <v>0</v>
      </c>
      <c r="F38" t="str">
        <f t="shared" si="0"/>
        <v>T-MEDIAﾎｰﾙﾃﾞｨﾝｸﾞｽ</v>
      </c>
    </row>
    <row r="39" spans="1:6" x14ac:dyDescent="0.25">
      <c r="A39" s="39"/>
      <c r="B39" s="39" t="s">
        <v>58</v>
      </c>
      <c r="C39" s="41">
        <v>3900</v>
      </c>
      <c r="D39" s="41">
        <v>0</v>
      </c>
      <c r="E39" s="41">
        <v>3900</v>
      </c>
      <c r="F39" t="str">
        <f t="shared" si="0"/>
        <v>T-MEDIAﾎｰﾙﾃﾞｨﾝｸﾞｽ</v>
      </c>
    </row>
    <row r="40" spans="1:6" x14ac:dyDescent="0.25">
      <c r="A40" s="39"/>
      <c r="B40" s="39"/>
      <c r="C40" s="41"/>
      <c r="D40" s="41"/>
      <c r="E40" s="41"/>
      <c r="F40" t="str">
        <f t="shared" si="0"/>
        <v/>
      </c>
    </row>
    <row r="41" spans="1:6" ht="14.25" x14ac:dyDescent="0.25">
      <c r="A41" s="38" t="s">
        <v>12</v>
      </c>
      <c r="B41" s="38"/>
      <c r="C41" s="42">
        <v>11437650</v>
      </c>
      <c r="D41" s="42">
        <v>9622230</v>
      </c>
      <c r="E41" s="42">
        <v>1815420</v>
      </c>
      <c r="F41" t="str">
        <f t="shared" si="0"/>
        <v/>
      </c>
    </row>
    <row r="42" spans="1:6" x14ac:dyDescent="0.25">
      <c r="A42" s="39"/>
      <c r="B42" s="39" t="s">
        <v>54</v>
      </c>
      <c r="C42" s="41">
        <v>11398050</v>
      </c>
      <c r="D42" s="41">
        <v>9588885</v>
      </c>
      <c r="E42" s="41">
        <v>1809165</v>
      </c>
      <c r="F42" t="str">
        <f t="shared" si="0"/>
        <v>TSUTAYA DISCAS</v>
      </c>
    </row>
    <row r="43" spans="1:6" x14ac:dyDescent="0.25">
      <c r="A43" s="39"/>
      <c r="B43" s="39" t="s">
        <v>66</v>
      </c>
      <c r="C43" s="41">
        <v>39600</v>
      </c>
      <c r="D43" s="41">
        <v>33345</v>
      </c>
      <c r="E43" s="41">
        <v>6255</v>
      </c>
      <c r="F43" t="str">
        <f t="shared" si="0"/>
        <v>TSUTAYA DISCAS</v>
      </c>
    </row>
    <row r="44" spans="1:6" x14ac:dyDescent="0.25">
      <c r="A44" s="39"/>
      <c r="B44" s="39"/>
      <c r="C44" s="41"/>
      <c r="D44" s="41"/>
      <c r="E44" s="41"/>
      <c r="F44" t="str">
        <f t="shared" si="0"/>
        <v/>
      </c>
    </row>
    <row r="45" spans="1:6" ht="14.25" x14ac:dyDescent="0.25">
      <c r="A45" s="38" t="s">
        <v>13</v>
      </c>
      <c r="B45" s="38"/>
      <c r="C45" s="42">
        <v>1900</v>
      </c>
      <c r="D45" s="42">
        <v>1750</v>
      </c>
      <c r="E45" s="42">
        <v>150</v>
      </c>
      <c r="F45" t="str">
        <f t="shared" si="0"/>
        <v/>
      </c>
    </row>
    <row r="46" spans="1:6" x14ac:dyDescent="0.25">
      <c r="A46" s="39"/>
      <c r="B46" s="39" t="s">
        <v>54</v>
      </c>
      <c r="C46" s="41">
        <v>1900</v>
      </c>
      <c r="D46" s="41">
        <v>1750</v>
      </c>
      <c r="E46" s="41">
        <v>150</v>
      </c>
      <c r="F46" t="str">
        <f t="shared" si="0"/>
        <v xml:space="preserve">zeronana </v>
      </c>
    </row>
    <row r="47" spans="1:6" x14ac:dyDescent="0.25">
      <c r="A47" s="39"/>
      <c r="B47" s="39"/>
      <c r="C47" s="41"/>
      <c r="D47" s="41"/>
      <c r="E47" s="41"/>
      <c r="F47" t="str">
        <f t="shared" si="0"/>
        <v/>
      </c>
    </row>
    <row r="48" spans="1:6" ht="14.25" x14ac:dyDescent="0.25">
      <c r="A48" s="38" t="s">
        <v>14</v>
      </c>
      <c r="B48" s="38"/>
      <c r="C48" s="42">
        <v>9000</v>
      </c>
      <c r="D48" s="42">
        <v>6300</v>
      </c>
      <c r="E48" s="42">
        <v>2700</v>
      </c>
      <c r="F48" t="str">
        <f t="shared" si="0"/>
        <v/>
      </c>
    </row>
    <row r="49" spans="1:6" x14ac:dyDescent="0.25">
      <c r="A49" s="39"/>
      <c r="B49" s="39" t="s">
        <v>58</v>
      </c>
      <c r="C49" s="41">
        <v>0</v>
      </c>
      <c r="D49" s="41">
        <v>0</v>
      </c>
      <c r="E49" s="41">
        <v>0</v>
      </c>
      <c r="F49" t="str">
        <f t="shared" si="0"/>
        <v>ｱｲﾑ</v>
      </c>
    </row>
    <row r="50" spans="1:6" x14ac:dyDescent="0.25">
      <c r="A50" s="39"/>
      <c r="B50" s="39" t="s">
        <v>66</v>
      </c>
      <c r="C50" s="41">
        <v>9000</v>
      </c>
      <c r="D50" s="41">
        <v>6300</v>
      </c>
      <c r="E50" s="41">
        <v>2700</v>
      </c>
      <c r="F50" t="str">
        <f t="shared" si="0"/>
        <v>ｱｲﾑ</v>
      </c>
    </row>
    <row r="51" spans="1:6" x14ac:dyDescent="0.25">
      <c r="A51" s="39"/>
      <c r="B51" s="39"/>
      <c r="C51" s="41"/>
      <c r="D51" s="41"/>
      <c r="E51" s="41"/>
      <c r="F51" t="str">
        <f t="shared" si="0"/>
        <v/>
      </c>
    </row>
    <row r="52" spans="1:6" ht="14.25" x14ac:dyDescent="0.25">
      <c r="A52" s="38" t="s">
        <v>15</v>
      </c>
      <c r="B52" s="38"/>
      <c r="C52" s="42">
        <v>0</v>
      </c>
      <c r="D52" s="42">
        <v>0</v>
      </c>
      <c r="E52" s="42">
        <v>0</v>
      </c>
      <c r="F52" t="str">
        <f t="shared" si="0"/>
        <v/>
      </c>
    </row>
    <row r="53" spans="1:6" x14ac:dyDescent="0.25">
      <c r="A53" s="39"/>
      <c r="B53" s="39" t="s">
        <v>54</v>
      </c>
      <c r="C53" s="41">
        <v>0</v>
      </c>
      <c r="D53" s="41">
        <v>0</v>
      </c>
      <c r="E53" s="41">
        <v>0</v>
      </c>
      <c r="F53" t="str">
        <f t="shared" si="0"/>
        <v>アクティブチャネル</v>
      </c>
    </row>
    <row r="54" spans="1:6" x14ac:dyDescent="0.25">
      <c r="A54" s="39"/>
      <c r="B54" s="39"/>
      <c r="C54" s="41"/>
      <c r="D54" s="41"/>
      <c r="E54" s="41"/>
      <c r="F54" t="str">
        <f t="shared" si="0"/>
        <v/>
      </c>
    </row>
    <row r="55" spans="1:6" ht="14.25" x14ac:dyDescent="0.25">
      <c r="A55" s="38" t="s">
        <v>16</v>
      </c>
      <c r="B55" s="38"/>
      <c r="C55" s="42">
        <v>302300</v>
      </c>
      <c r="D55" s="42">
        <v>292236</v>
      </c>
      <c r="E55" s="42">
        <v>18397</v>
      </c>
      <c r="F55" t="str">
        <f t="shared" si="0"/>
        <v/>
      </c>
    </row>
    <row r="56" spans="1:6" x14ac:dyDescent="0.25">
      <c r="A56" s="39"/>
      <c r="B56" s="39" t="s">
        <v>54</v>
      </c>
      <c r="C56" s="41">
        <v>289300</v>
      </c>
      <c r="D56" s="41">
        <v>273690</v>
      </c>
      <c r="E56" s="41">
        <v>23943</v>
      </c>
      <c r="F56" t="str">
        <f t="shared" si="0"/>
        <v>インターナショナルカードシステム株式会社</v>
      </c>
    </row>
    <row r="57" spans="1:6" x14ac:dyDescent="0.25">
      <c r="A57" s="39"/>
      <c r="B57" s="39" t="s">
        <v>55</v>
      </c>
      <c r="C57" s="41">
        <v>3000</v>
      </c>
      <c r="D57" s="41">
        <v>6755</v>
      </c>
      <c r="E57" s="41">
        <v>-3755</v>
      </c>
      <c r="F57" t="str">
        <f t="shared" si="0"/>
        <v>インターナショナルカードシステム株式会社</v>
      </c>
    </row>
    <row r="58" spans="1:6" x14ac:dyDescent="0.25">
      <c r="A58" s="39"/>
      <c r="B58" s="39" t="s">
        <v>61</v>
      </c>
      <c r="C58" s="41">
        <v>10000</v>
      </c>
      <c r="D58" s="41">
        <v>11791</v>
      </c>
      <c r="E58" s="41">
        <v>-1791</v>
      </c>
      <c r="F58" t="str">
        <f t="shared" si="0"/>
        <v>インターナショナルカードシステム株式会社</v>
      </c>
    </row>
    <row r="59" spans="1:6" x14ac:dyDescent="0.25">
      <c r="A59" s="39"/>
      <c r="B59" s="39"/>
      <c r="C59" s="41"/>
      <c r="D59" s="41"/>
      <c r="E59" s="41"/>
      <c r="F59" t="str">
        <f t="shared" si="0"/>
        <v/>
      </c>
    </row>
    <row r="60" spans="1:6" ht="14.25" x14ac:dyDescent="0.25">
      <c r="A60" s="38" t="s">
        <v>17</v>
      </c>
      <c r="B60" s="38"/>
      <c r="C60" s="42">
        <v>486776</v>
      </c>
      <c r="D60" s="42">
        <v>413760</v>
      </c>
      <c r="E60" s="42">
        <v>73016</v>
      </c>
      <c r="F60" t="str">
        <f t="shared" si="0"/>
        <v/>
      </c>
    </row>
    <row r="61" spans="1:6" x14ac:dyDescent="0.25">
      <c r="A61" s="39"/>
      <c r="B61" s="39" t="s">
        <v>56</v>
      </c>
      <c r="C61" s="41">
        <v>174274</v>
      </c>
      <c r="D61" s="41">
        <v>148134</v>
      </c>
      <c r="E61" s="41">
        <v>26140</v>
      </c>
      <c r="F61" t="str">
        <f t="shared" si="0"/>
        <v>インターナル</v>
      </c>
    </row>
    <row r="62" spans="1:6" x14ac:dyDescent="0.25">
      <c r="A62" s="39"/>
      <c r="B62" s="39" t="s">
        <v>61</v>
      </c>
      <c r="C62" s="41">
        <v>269175</v>
      </c>
      <c r="D62" s="41">
        <v>228798</v>
      </c>
      <c r="E62" s="41">
        <v>40377</v>
      </c>
      <c r="F62" t="str">
        <f t="shared" si="0"/>
        <v>インターナル</v>
      </c>
    </row>
    <row r="63" spans="1:6" x14ac:dyDescent="0.25">
      <c r="A63" s="39"/>
      <c r="B63" s="39" t="s">
        <v>64</v>
      </c>
      <c r="C63" s="41">
        <v>43327</v>
      </c>
      <c r="D63" s="41">
        <v>36828</v>
      </c>
      <c r="E63" s="41">
        <v>6499</v>
      </c>
      <c r="F63" t="str">
        <f t="shared" si="0"/>
        <v>インターナル</v>
      </c>
    </row>
    <row r="64" spans="1:6" x14ac:dyDescent="0.25">
      <c r="A64" s="39"/>
      <c r="B64" s="39"/>
      <c r="C64" s="41"/>
      <c r="D64" s="41"/>
      <c r="E64" s="41"/>
      <c r="F64" t="str">
        <f t="shared" si="0"/>
        <v/>
      </c>
    </row>
    <row r="65" spans="1:6" ht="14.25" x14ac:dyDescent="0.25">
      <c r="A65" s="38" t="s">
        <v>18</v>
      </c>
      <c r="B65" s="38"/>
      <c r="C65" s="42">
        <v>1209800</v>
      </c>
      <c r="D65" s="42">
        <v>1104920</v>
      </c>
      <c r="E65" s="42">
        <v>108487.5</v>
      </c>
      <c r="F65" t="str">
        <f t="shared" si="0"/>
        <v/>
      </c>
    </row>
    <row r="66" spans="1:6" x14ac:dyDescent="0.25">
      <c r="A66" s="39"/>
      <c r="B66" s="39" t="s">
        <v>53</v>
      </c>
      <c r="C66" s="41">
        <v>85000</v>
      </c>
      <c r="D66" s="41">
        <v>0</v>
      </c>
      <c r="E66" s="41">
        <v>85000</v>
      </c>
      <c r="F66" t="str">
        <f t="shared" si="0"/>
        <v>インデックス</v>
      </c>
    </row>
    <row r="67" spans="1:6" x14ac:dyDescent="0.25">
      <c r="A67" s="39"/>
      <c r="B67" s="39" t="s">
        <v>54</v>
      </c>
      <c r="C67" s="41">
        <v>304800</v>
      </c>
      <c r="D67" s="41">
        <v>274920</v>
      </c>
      <c r="E67" s="41">
        <v>33487.5</v>
      </c>
      <c r="F67" t="str">
        <f t="shared" si="0"/>
        <v>インデックス</v>
      </c>
    </row>
    <row r="68" spans="1:6" x14ac:dyDescent="0.25">
      <c r="A68" s="39"/>
      <c r="B68" s="39" t="s">
        <v>57</v>
      </c>
      <c r="C68" s="41">
        <v>800000</v>
      </c>
      <c r="D68" s="41">
        <v>830000</v>
      </c>
      <c r="E68" s="41">
        <v>-30000</v>
      </c>
      <c r="F68" t="str">
        <f t="shared" si="0"/>
        <v>インデックス</v>
      </c>
    </row>
    <row r="69" spans="1:6" x14ac:dyDescent="0.25">
      <c r="A69" s="39"/>
      <c r="B69" s="39" t="s">
        <v>62</v>
      </c>
      <c r="C69" s="41">
        <v>20000</v>
      </c>
      <c r="D69" s="41">
        <v>0</v>
      </c>
      <c r="E69" s="41">
        <v>20000</v>
      </c>
      <c r="F69" t="str">
        <f t="shared" ref="F69:F132" si="1">IF(B69="","",IF(F68&lt;&gt;"",F68,A68))</f>
        <v>インデックス</v>
      </c>
    </row>
    <row r="70" spans="1:6" x14ac:dyDescent="0.25">
      <c r="A70" s="39"/>
      <c r="B70" s="39" t="s">
        <v>63</v>
      </c>
      <c r="C70" s="41">
        <v>0</v>
      </c>
      <c r="D70" s="41">
        <v>0</v>
      </c>
      <c r="E70" s="41">
        <v>0</v>
      </c>
      <c r="F70" t="str">
        <f t="shared" si="1"/>
        <v>インデックス</v>
      </c>
    </row>
    <row r="71" spans="1:6" x14ac:dyDescent="0.25">
      <c r="A71" s="39"/>
      <c r="B71" s="39"/>
      <c r="C71" s="41"/>
      <c r="D71" s="41"/>
      <c r="E71" s="41"/>
      <c r="F71" t="str">
        <f t="shared" si="1"/>
        <v/>
      </c>
    </row>
    <row r="72" spans="1:6" ht="14.25" x14ac:dyDescent="0.25">
      <c r="A72" s="38" t="s">
        <v>19</v>
      </c>
      <c r="B72" s="38"/>
      <c r="C72" s="42">
        <v>280675</v>
      </c>
      <c r="D72" s="42">
        <v>260603</v>
      </c>
      <c r="E72" s="42">
        <v>20072</v>
      </c>
      <c r="F72" t="str">
        <f t="shared" si="1"/>
        <v/>
      </c>
    </row>
    <row r="73" spans="1:6" x14ac:dyDescent="0.25">
      <c r="A73" s="39"/>
      <c r="B73" s="39" t="s">
        <v>54</v>
      </c>
      <c r="C73" s="41">
        <v>280675</v>
      </c>
      <c r="D73" s="41">
        <v>260603</v>
      </c>
      <c r="E73" s="41">
        <v>20072</v>
      </c>
      <c r="F73" t="str">
        <f t="shared" si="1"/>
        <v>ｲﾝﾄﾛﾑ</v>
      </c>
    </row>
    <row r="74" spans="1:6" x14ac:dyDescent="0.25">
      <c r="A74" s="39"/>
      <c r="B74" s="39" t="s">
        <v>58</v>
      </c>
      <c r="C74" s="41">
        <v>0</v>
      </c>
      <c r="D74" s="41">
        <v>0</v>
      </c>
      <c r="E74" s="41">
        <v>0</v>
      </c>
      <c r="F74" t="str">
        <f t="shared" si="1"/>
        <v>ｲﾝﾄﾛﾑ</v>
      </c>
    </row>
    <row r="75" spans="1:6" x14ac:dyDescent="0.25">
      <c r="A75" s="39"/>
      <c r="B75" s="39"/>
      <c r="C75" s="41"/>
      <c r="D75" s="41"/>
      <c r="E75" s="41"/>
      <c r="F75" t="str">
        <f t="shared" si="1"/>
        <v/>
      </c>
    </row>
    <row r="76" spans="1:6" ht="14.25" x14ac:dyDescent="0.25">
      <c r="A76" s="38" t="s">
        <v>20</v>
      </c>
      <c r="B76" s="38"/>
      <c r="C76" s="42">
        <v>11408600</v>
      </c>
      <c r="D76" s="42">
        <v>10359559</v>
      </c>
      <c r="E76" s="42">
        <v>1049041</v>
      </c>
      <c r="F76" t="str">
        <f t="shared" si="1"/>
        <v/>
      </c>
    </row>
    <row r="77" spans="1:6" x14ac:dyDescent="0.25">
      <c r="A77" s="39"/>
      <c r="B77" s="39" t="s">
        <v>54</v>
      </c>
      <c r="C77" s="41">
        <v>11399800</v>
      </c>
      <c r="D77" s="41">
        <v>10340850</v>
      </c>
      <c r="E77" s="41">
        <v>1058950</v>
      </c>
      <c r="F77" t="str">
        <f t="shared" si="1"/>
        <v>ｴﾑｽﾘｰ</v>
      </c>
    </row>
    <row r="78" spans="1:6" x14ac:dyDescent="0.25">
      <c r="A78" s="39"/>
      <c r="B78" s="39" t="s">
        <v>56</v>
      </c>
      <c r="C78" s="41">
        <v>8800</v>
      </c>
      <c r="D78" s="41">
        <v>18709</v>
      </c>
      <c r="E78" s="41">
        <v>-9909</v>
      </c>
      <c r="F78" t="str">
        <f t="shared" si="1"/>
        <v>ｴﾑｽﾘｰ</v>
      </c>
    </row>
    <row r="79" spans="1:6" x14ac:dyDescent="0.25">
      <c r="A79" s="39"/>
      <c r="B79" s="39" t="s">
        <v>58</v>
      </c>
      <c r="C79" s="41">
        <v>0</v>
      </c>
      <c r="D79" s="41">
        <v>0</v>
      </c>
      <c r="E79" s="41">
        <v>0</v>
      </c>
      <c r="F79" t="str">
        <f t="shared" si="1"/>
        <v>ｴﾑｽﾘｰ</v>
      </c>
    </row>
    <row r="80" spans="1:6" x14ac:dyDescent="0.25">
      <c r="A80" s="39"/>
      <c r="B80" s="39" t="s">
        <v>60</v>
      </c>
      <c r="C80" s="41">
        <v>0</v>
      </c>
      <c r="D80" s="41">
        <v>0</v>
      </c>
      <c r="E80" s="41">
        <v>0</v>
      </c>
      <c r="F80" t="str">
        <f t="shared" si="1"/>
        <v>ｴﾑｽﾘｰ</v>
      </c>
    </row>
    <row r="81" spans="1:6" x14ac:dyDescent="0.25">
      <c r="A81" s="39"/>
      <c r="B81" s="39"/>
      <c r="C81" s="41"/>
      <c r="D81" s="41"/>
      <c r="E81" s="41"/>
      <c r="F81" t="str">
        <f t="shared" si="1"/>
        <v/>
      </c>
    </row>
    <row r="82" spans="1:6" ht="14.25" x14ac:dyDescent="0.25">
      <c r="A82" s="38" t="s">
        <v>21</v>
      </c>
      <c r="B82" s="38"/>
      <c r="C82" s="42">
        <v>2535040</v>
      </c>
      <c r="D82" s="42">
        <v>1902554</v>
      </c>
      <c r="E82" s="42">
        <v>632486</v>
      </c>
      <c r="F82" t="str">
        <f t="shared" si="1"/>
        <v/>
      </c>
    </row>
    <row r="83" spans="1:6" x14ac:dyDescent="0.25">
      <c r="A83" s="39"/>
      <c r="B83" s="39" t="s">
        <v>54</v>
      </c>
      <c r="C83" s="41">
        <v>899520</v>
      </c>
      <c r="D83" s="41">
        <v>783195</v>
      </c>
      <c r="E83" s="41">
        <v>116325</v>
      </c>
      <c r="F83" t="str">
        <f t="shared" si="1"/>
        <v>ｵﾙﾋﾞｽ</v>
      </c>
    </row>
    <row r="84" spans="1:6" x14ac:dyDescent="0.25">
      <c r="A84" s="39"/>
      <c r="B84" s="39" t="s">
        <v>56</v>
      </c>
      <c r="C84" s="41">
        <v>32640</v>
      </c>
      <c r="D84" s="41">
        <v>1813</v>
      </c>
      <c r="E84" s="41">
        <v>30827</v>
      </c>
      <c r="F84" t="str">
        <f t="shared" si="1"/>
        <v>ｵﾙﾋﾞｽ</v>
      </c>
    </row>
    <row r="85" spans="1:6" x14ac:dyDescent="0.25">
      <c r="A85" s="39"/>
      <c r="B85" s="39" t="s">
        <v>58</v>
      </c>
      <c r="C85" s="41">
        <v>19760</v>
      </c>
      <c r="D85" s="41">
        <v>1232</v>
      </c>
      <c r="E85" s="41">
        <v>18528</v>
      </c>
      <c r="F85" t="str">
        <f t="shared" si="1"/>
        <v>ｵﾙﾋﾞｽ</v>
      </c>
    </row>
    <row r="86" spans="1:6" x14ac:dyDescent="0.25">
      <c r="A86" s="39"/>
      <c r="B86" s="39" t="s">
        <v>61</v>
      </c>
      <c r="C86" s="41">
        <v>14640</v>
      </c>
      <c r="D86" s="41">
        <v>18378</v>
      </c>
      <c r="E86" s="41">
        <v>-3738</v>
      </c>
      <c r="F86" t="str">
        <f t="shared" si="1"/>
        <v>ｵﾙﾋﾞｽ</v>
      </c>
    </row>
    <row r="87" spans="1:6" x14ac:dyDescent="0.25">
      <c r="A87" s="39"/>
      <c r="B87" s="39" t="s">
        <v>66</v>
      </c>
      <c r="C87" s="41">
        <v>1568480</v>
      </c>
      <c r="D87" s="41">
        <v>1097936</v>
      </c>
      <c r="E87" s="41">
        <v>470544</v>
      </c>
      <c r="F87" t="str">
        <f t="shared" si="1"/>
        <v>ｵﾙﾋﾞｽ</v>
      </c>
    </row>
    <row r="88" spans="1:6" x14ac:dyDescent="0.25">
      <c r="A88" s="39"/>
      <c r="B88" s="39"/>
      <c r="C88" s="41"/>
      <c r="D88" s="41"/>
      <c r="E88" s="41"/>
      <c r="F88" t="str">
        <f t="shared" si="1"/>
        <v/>
      </c>
    </row>
    <row r="89" spans="1:6" ht="14.25" x14ac:dyDescent="0.25">
      <c r="A89" s="38" t="s">
        <v>22</v>
      </c>
      <c r="B89" s="38"/>
      <c r="C89" s="42">
        <v>614000</v>
      </c>
      <c r="D89" s="42">
        <v>511400</v>
      </c>
      <c r="E89" s="42">
        <v>102600</v>
      </c>
      <c r="F89" t="str">
        <f t="shared" si="1"/>
        <v/>
      </c>
    </row>
    <row r="90" spans="1:6" x14ac:dyDescent="0.25">
      <c r="A90" s="39"/>
      <c r="B90" s="39" t="s">
        <v>54</v>
      </c>
      <c r="C90" s="41">
        <v>524000</v>
      </c>
      <c r="D90" s="41">
        <v>459600</v>
      </c>
      <c r="E90" s="41">
        <v>64400</v>
      </c>
      <c r="F90" t="str">
        <f t="shared" si="1"/>
        <v>ｷﾅﾘ</v>
      </c>
    </row>
    <row r="91" spans="1:6" x14ac:dyDescent="0.25">
      <c r="A91" s="39"/>
      <c r="B91" s="39" t="s">
        <v>56</v>
      </c>
      <c r="C91" s="41">
        <v>0</v>
      </c>
      <c r="D91" s="41">
        <v>0</v>
      </c>
      <c r="E91" s="41">
        <v>0</v>
      </c>
      <c r="F91" t="str">
        <f t="shared" si="1"/>
        <v>ｷﾅﾘ</v>
      </c>
    </row>
    <row r="92" spans="1:6" x14ac:dyDescent="0.25">
      <c r="A92" s="39"/>
      <c r="B92" s="39" t="s">
        <v>58</v>
      </c>
      <c r="C92" s="41">
        <v>16000</v>
      </c>
      <c r="D92" s="41">
        <v>0</v>
      </c>
      <c r="E92" s="41">
        <v>16000</v>
      </c>
      <c r="F92" t="str">
        <f t="shared" si="1"/>
        <v>ｷﾅﾘ</v>
      </c>
    </row>
    <row r="93" spans="1:6" x14ac:dyDescent="0.25">
      <c r="A93" s="39"/>
      <c r="B93" s="39" t="s">
        <v>59</v>
      </c>
      <c r="C93" s="41">
        <v>0</v>
      </c>
      <c r="D93" s="41">
        <v>0</v>
      </c>
      <c r="E93" s="41">
        <v>0</v>
      </c>
      <c r="F93" t="str">
        <f t="shared" si="1"/>
        <v>ｷﾅﾘ</v>
      </c>
    </row>
    <row r="94" spans="1:6" x14ac:dyDescent="0.25">
      <c r="A94" s="39"/>
      <c r="B94" s="39" t="s">
        <v>61</v>
      </c>
      <c r="C94" s="41">
        <v>0</v>
      </c>
      <c r="D94" s="41">
        <v>0</v>
      </c>
      <c r="E94" s="41">
        <v>0</v>
      </c>
      <c r="F94" t="str">
        <f t="shared" si="1"/>
        <v>ｷﾅﾘ</v>
      </c>
    </row>
    <row r="95" spans="1:6" x14ac:dyDescent="0.25">
      <c r="A95" s="39"/>
      <c r="B95" s="39" t="s">
        <v>66</v>
      </c>
      <c r="C95" s="41">
        <v>74000</v>
      </c>
      <c r="D95" s="41">
        <v>51800</v>
      </c>
      <c r="E95" s="41">
        <v>22200</v>
      </c>
      <c r="F95" t="str">
        <f t="shared" si="1"/>
        <v>ｷﾅﾘ</v>
      </c>
    </row>
    <row r="96" spans="1:6" x14ac:dyDescent="0.25">
      <c r="A96" s="39"/>
      <c r="B96" s="39" t="s">
        <v>39</v>
      </c>
      <c r="C96" s="41">
        <v>0</v>
      </c>
      <c r="D96" s="41">
        <v>0</v>
      </c>
      <c r="E96" s="41">
        <v>0</v>
      </c>
      <c r="F96" t="str">
        <f t="shared" si="1"/>
        <v>ｷﾅﾘ</v>
      </c>
    </row>
    <row r="97" spans="1:6" x14ac:dyDescent="0.25">
      <c r="A97" s="39"/>
      <c r="B97" s="39"/>
      <c r="C97" s="41"/>
      <c r="D97" s="41"/>
      <c r="E97" s="41"/>
      <c r="F97" t="str">
        <f t="shared" si="1"/>
        <v/>
      </c>
    </row>
    <row r="98" spans="1:6" ht="14.25" x14ac:dyDescent="0.25">
      <c r="A98" s="38" t="s">
        <v>23</v>
      </c>
      <c r="B98" s="38"/>
      <c r="C98" s="42">
        <v>0</v>
      </c>
      <c r="D98" s="42">
        <v>0</v>
      </c>
      <c r="E98" s="42">
        <v>0</v>
      </c>
      <c r="F98" t="str">
        <f t="shared" si="1"/>
        <v/>
      </c>
    </row>
    <row r="99" spans="1:6" x14ac:dyDescent="0.25">
      <c r="A99" s="39"/>
      <c r="B99" s="39" t="s">
        <v>54</v>
      </c>
      <c r="C99" s="41">
        <v>0</v>
      </c>
      <c r="D99" s="41">
        <v>0</v>
      </c>
      <c r="E99" s="41">
        <v>0</v>
      </c>
      <c r="F99" t="str">
        <f t="shared" si="1"/>
        <v>ｸﾚﾊﾞｧｰｽﾞ</v>
      </c>
    </row>
    <row r="100" spans="1:6" x14ac:dyDescent="0.25">
      <c r="A100" s="39"/>
      <c r="B100" s="39" t="s">
        <v>66</v>
      </c>
      <c r="C100" s="41">
        <v>0</v>
      </c>
      <c r="D100" s="41">
        <v>0</v>
      </c>
      <c r="E100" s="41">
        <v>0</v>
      </c>
      <c r="F100" t="str">
        <f t="shared" si="1"/>
        <v>ｸﾚﾊﾞｧｰｽﾞ</v>
      </c>
    </row>
    <row r="101" spans="1:6" x14ac:dyDescent="0.25">
      <c r="A101" s="39"/>
      <c r="B101" s="39"/>
      <c r="C101" s="41"/>
      <c r="D101" s="41"/>
      <c r="E101" s="41"/>
      <c r="F101" t="str">
        <f t="shared" si="1"/>
        <v/>
      </c>
    </row>
    <row r="102" spans="1:6" ht="14.25" x14ac:dyDescent="0.25">
      <c r="A102" s="38" t="s">
        <v>24</v>
      </c>
      <c r="B102" s="38"/>
      <c r="C102" s="42">
        <v>485000</v>
      </c>
      <c r="D102" s="42">
        <v>786000</v>
      </c>
      <c r="E102" s="42">
        <v>-301000</v>
      </c>
      <c r="F102" t="str">
        <f t="shared" si="1"/>
        <v/>
      </c>
    </row>
    <row r="103" spans="1:6" x14ac:dyDescent="0.25">
      <c r="A103" s="39"/>
      <c r="B103" s="39" t="s">
        <v>53</v>
      </c>
      <c r="C103" s="41">
        <v>65000</v>
      </c>
      <c r="D103" s="41">
        <v>0</v>
      </c>
      <c r="E103" s="41">
        <v>65000</v>
      </c>
      <c r="F103" t="str">
        <f t="shared" si="1"/>
        <v>ゴルフダイジェスト・オンライン</v>
      </c>
    </row>
    <row r="104" spans="1:6" x14ac:dyDescent="0.25">
      <c r="A104" s="39"/>
      <c r="B104" s="39" t="s">
        <v>54</v>
      </c>
      <c r="C104" s="41">
        <v>0</v>
      </c>
      <c r="D104" s="41">
        <v>0</v>
      </c>
      <c r="E104" s="41">
        <v>0</v>
      </c>
      <c r="F104" t="str">
        <f t="shared" si="1"/>
        <v>ゴルフダイジェスト・オンライン</v>
      </c>
    </row>
    <row r="105" spans="1:6" x14ac:dyDescent="0.25">
      <c r="A105" s="39"/>
      <c r="B105" s="39" t="s">
        <v>57</v>
      </c>
      <c r="C105" s="41">
        <v>420000</v>
      </c>
      <c r="D105" s="41">
        <v>786000</v>
      </c>
      <c r="E105" s="41">
        <v>-366000</v>
      </c>
      <c r="F105" t="str">
        <f t="shared" si="1"/>
        <v>ゴルフダイジェスト・オンライン</v>
      </c>
    </row>
    <row r="106" spans="1:6" x14ac:dyDescent="0.25">
      <c r="A106" s="39"/>
      <c r="B106" s="39"/>
      <c r="C106" s="41"/>
      <c r="D106" s="41"/>
      <c r="E106" s="41"/>
      <c r="F106" t="str">
        <f t="shared" si="1"/>
        <v/>
      </c>
    </row>
    <row r="107" spans="1:6" ht="14.25" x14ac:dyDescent="0.25">
      <c r="A107" s="38" t="s">
        <v>25</v>
      </c>
      <c r="B107" s="38"/>
      <c r="C107" s="42">
        <v>7350</v>
      </c>
      <c r="D107" s="42">
        <v>6452</v>
      </c>
      <c r="E107" s="42">
        <v>898</v>
      </c>
      <c r="F107" t="str">
        <f t="shared" si="1"/>
        <v/>
      </c>
    </row>
    <row r="108" spans="1:6" x14ac:dyDescent="0.25">
      <c r="A108" s="39"/>
      <c r="B108" s="39" t="s">
        <v>54</v>
      </c>
      <c r="C108" s="41">
        <v>2940</v>
      </c>
      <c r="D108" s="41">
        <v>2574</v>
      </c>
      <c r="E108" s="41">
        <v>366</v>
      </c>
      <c r="F108" t="str">
        <f t="shared" si="1"/>
        <v>ｻｯﾌｫ化粧品</v>
      </c>
    </row>
    <row r="109" spans="1:6" x14ac:dyDescent="0.25">
      <c r="A109" s="39"/>
      <c r="B109" s="39" t="s">
        <v>56</v>
      </c>
      <c r="C109" s="41">
        <v>2940</v>
      </c>
      <c r="D109" s="41">
        <v>2849</v>
      </c>
      <c r="E109" s="41">
        <v>91</v>
      </c>
      <c r="F109" t="str">
        <f t="shared" si="1"/>
        <v>ｻｯﾌｫ化粧品</v>
      </c>
    </row>
    <row r="110" spans="1:6" x14ac:dyDescent="0.25">
      <c r="A110" s="39"/>
      <c r="B110" s="39" t="s">
        <v>58</v>
      </c>
      <c r="C110" s="41">
        <v>0</v>
      </c>
      <c r="D110" s="41">
        <v>0</v>
      </c>
      <c r="E110" s="41">
        <v>0</v>
      </c>
      <c r="F110" t="str">
        <f t="shared" si="1"/>
        <v>ｻｯﾌｫ化粧品</v>
      </c>
    </row>
    <row r="111" spans="1:6" x14ac:dyDescent="0.25">
      <c r="A111" s="39"/>
      <c r="B111" s="39" t="s">
        <v>66</v>
      </c>
      <c r="C111" s="41">
        <v>1470</v>
      </c>
      <c r="D111" s="41">
        <v>1029</v>
      </c>
      <c r="E111" s="41">
        <v>441</v>
      </c>
      <c r="F111" t="str">
        <f t="shared" si="1"/>
        <v>ｻｯﾌｫ化粧品</v>
      </c>
    </row>
    <row r="112" spans="1:6" x14ac:dyDescent="0.25">
      <c r="A112" s="39"/>
      <c r="B112" s="39"/>
      <c r="C112" s="41"/>
      <c r="D112" s="41"/>
      <c r="E112" s="41"/>
      <c r="F112" t="str">
        <f t="shared" si="1"/>
        <v/>
      </c>
    </row>
    <row r="113" spans="1:6" ht="14.25" x14ac:dyDescent="0.25">
      <c r="A113" s="38" t="s">
        <v>26</v>
      </c>
      <c r="B113" s="38"/>
      <c r="C113" s="42">
        <v>1610160</v>
      </c>
      <c r="D113" s="42">
        <v>1472952</v>
      </c>
      <c r="E113" s="42">
        <v>146823</v>
      </c>
      <c r="F113" t="str">
        <f t="shared" si="1"/>
        <v/>
      </c>
    </row>
    <row r="114" spans="1:6" x14ac:dyDescent="0.25">
      <c r="A114" s="39"/>
      <c r="B114" s="39" t="s">
        <v>54</v>
      </c>
      <c r="C114" s="41">
        <v>1610160</v>
      </c>
      <c r="D114" s="41">
        <v>1472952</v>
      </c>
      <c r="E114" s="41">
        <v>146823</v>
      </c>
      <c r="F114" t="str">
        <f t="shared" si="1"/>
        <v>シーミュージック</v>
      </c>
    </row>
    <row r="115" spans="1:6" x14ac:dyDescent="0.25">
      <c r="A115" s="39"/>
      <c r="B115" s="39"/>
      <c r="C115" s="41"/>
      <c r="D115" s="41"/>
      <c r="E115" s="41"/>
      <c r="F115" t="str">
        <f t="shared" si="1"/>
        <v/>
      </c>
    </row>
    <row r="116" spans="1:6" ht="14.25" x14ac:dyDescent="0.25">
      <c r="A116" s="38" t="s">
        <v>27</v>
      </c>
      <c r="B116" s="38"/>
      <c r="C116" s="42">
        <v>7860600</v>
      </c>
      <c r="D116" s="42">
        <v>3497150</v>
      </c>
      <c r="E116" s="42">
        <v>4363450</v>
      </c>
      <c r="F116" t="str">
        <f t="shared" si="1"/>
        <v/>
      </c>
    </row>
    <row r="117" spans="1:6" x14ac:dyDescent="0.25">
      <c r="A117" s="39"/>
      <c r="B117" s="39" t="s">
        <v>54</v>
      </c>
      <c r="C117" s="41">
        <v>1008200</v>
      </c>
      <c r="D117" s="41">
        <v>852000</v>
      </c>
      <c r="E117" s="41">
        <v>156200</v>
      </c>
      <c r="F117" t="str">
        <f t="shared" si="1"/>
        <v>ﾃｨｰｴｰｼﾞｪﾝﾄ</v>
      </c>
    </row>
    <row r="118" spans="1:6" x14ac:dyDescent="0.25">
      <c r="A118" s="39"/>
      <c r="B118" s="39" t="s">
        <v>55</v>
      </c>
      <c r="C118" s="41">
        <v>0</v>
      </c>
      <c r="D118" s="41">
        <v>0</v>
      </c>
      <c r="E118" s="41">
        <v>0</v>
      </c>
      <c r="F118" t="str">
        <f t="shared" si="1"/>
        <v>ﾃｨｰｴｰｼﾞｪﾝﾄ</v>
      </c>
    </row>
    <row r="119" spans="1:6" x14ac:dyDescent="0.25">
      <c r="A119" s="39"/>
      <c r="B119" s="39" t="s">
        <v>56</v>
      </c>
      <c r="C119" s="41">
        <v>2621900</v>
      </c>
      <c r="D119" s="41">
        <v>165000</v>
      </c>
      <c r="E119" s="41">
        <v>2456900</v>
      </c>
      <c r="F119" t="str">
        <f t="shared" si="1"/>
        <v>ﾃｨｰｴｰｼﾞｪﾝﾄ</v>
      </c>
    </row>
    <row r="120" spans="1:6" x14ac:dyDescent="0.25">
      <c r="A120" s="39"/>
      <c r="B120" s="39" t="s">
        <v>58</v>
      </c>
      <c r="C120" s="41">
        <v>248500</v>
      </c>
      <c r="D120" s="41">
        <v>0</v>
      </c>
      <c r="E120" s="41">
        <v>248500</v>
      </c>
      <c r="F120" t="str">
        <f t="shared" si="1"/>
        <v>ﾃｨｰｴｰｼﾞｪﾝﾄ</v>
      </c>
    </row>
    <row r="121" spans="1:6" x14ac:dyDescent="0.25">
      <c r="A121" s="39"/>
      <c r="B121" s="39" t="s">
        <v>61</v>
      </c>
      <c r="C121" s="41">
        <v>467500</v>
      </c>
      <c r="D121" s="41">
        <v>20000</v>
      </c>
      <c r="E121" s="41">
        <v>447500</v>
      </c>
      <c r="F121" t="str">
        <f t="shared" si="1"/>
        <v>ﾃｨｰｴｰｼﾞｪﾝﾄ</v>
      </c>
    </row>
    <row r="122" spans="1:6" x14ac:dyDescent="0.25">
      <c r="A122" s="39"/>
      <c r="B122" s="39" t="s">
        <v>66</v>
      </c>
      <c r="C122" s="41">
        <v>3514500</v>
      </c>
      <c r="D122" s="41">
        <v>2460150</v>
      </c>
      <c r="E122" s="41">
        <v>1054350</v>
      </c>
      <c r="F122" t="str">
        <f t="shared" si="1"/>
        <v>ﾃｨｰｴｰｼﾞｪﾝﾄ</v>
      </c>
    </row>
    <row r="123" spans="1:6" x14ac:dyDescent="0.25">
      <c r="A123" s="39"/>
      <c r="B123" s="39"/>
      <c r="C123" s="41"/>
      <c r="D123" s="41"/>
      <c r="E123" s="41"/>
      <c r="F123" t="str">
        <f t="shared" si="1"/>
        <v/>
      </c>
    </row>
    <row r="124" spans="1:6" ht="14.25" x14ac:dyDescent="0.25">
      <c r="A124" s="38" t="s">
        <v>28</v>
      </c>
      <c r="B124" s="38"/>
      <c r="C124" s="42">
        <v>0</v>
      </c>
      <c r="D124" s="42">
        <v>0</v>
      </c>
      <c r="E124" s="42">
        <v>0</v>
      </c>
      <c r="F124" t="str">
        <f t="shared" si="1"/>
        <v/>
      </c>
    </row>
    <row r="125" spans="1:6" x14ac:dyDescent="0.25">
      <c r="A125" s="39"/>
      <c r="B125" s="39" t="s">
        <v>56</v>
      </c>
      <c r="C125" s="41">
        <v>0</v>
      </c>
      <c r="D125" s="41">
        <v>0</v>
      </c>
      <c r="E125" s="41">
        <v>0</v>
      </c>
      <c r="F125" t="str">
        <f t="shared" si="1"/>
        <v>ﾈｲﾁｬｰｳｪｲ</v>
      </c>
    </row>
    <row r="126" spans="1:6" x14ac:dyDescent="0.25">
      <c r="A126" s="39"/>
      <c r="B126" s="39" t="s">
        <v>61</v>
      </c>
      <c r="C126" s="41">
        <v>0</v>
      </c>
      <c r="D126" s="41">
        <v>0</v>
      </c>
      <c r="E126" s="41">
        <v>0</v>
      </c>
      <c r="F126" t="str">
        <f t="shared" si="1"/>
        <v>ﾈｲﾁｬｰｳｪｲ</v>
      </c>
    </row>
    <row r="127" spans="1:6" x14ac:dyDescent="0.25">
      <c r="A127" s="39"/>
      <c r="B127" s="39"/>
      <c r="C127" s="41"/>
      <c r="D127" s="41"/>
      <c r="E127" s="41"/>
      <c r="F127" t="str">
        <f t="shared" si="1"/>
        <v/>
      </c>
    </row>
    <row r="128" spans="1:6" ht="14.25" x14ac:dyDescent="0.25">
      <c r="A128" s="38" t="s">
        <v>29</v>
      </c>
      <c r="B128" s="38"/>
      <c r="C128" s="42">
        <v>0</v>
      </c>
      <c r="D128" s="42">
        <v>0</v>
      </c>
      <c r="E128" s="42">
        <v>0</v>
      </c>
      <c r="F128" t="str">
        <f t="shared" si="1"/>
        <v/>
      </c>
    </row>
    <row r="129" spans="1:6" x14ac:dyDescent="0.25">
      <c r="A129" s="39"/>
      <c r="B129" s="39" t="s">
        <v>56</v>
      </c>
      <c r="C129" s="41">
        <v>0</v>
      </c>
      <c r="D129" s="41">
        <v>0</v>
      </c>
      <c r="E129" s="41">
        <v>0</v>
      </c>
      <c r="F129" t="str">
        <f t="shared" si="1"/>
        <v>ﾊｯﾋﾟｰｶﾑｶﾑ</v>
      </c>
    </row>
    <row r="130" spans="1:6" x14ac:dyDescent="0.25">
      <c r="A130" s="39"/>
      <c r="B130" s="39"/>
      <c r="C130" s="41"/>
      <c r="D130" s="41"/>
      <c r="E130" s="41"/>
      <c r="F130" t="str">
        <f t="shared" si="1"/>
        <v/>
      </c>
    </row>
    <row r="131" spans="1:6" ht="14.25" x14ac:dyDescent="0.25">
      <c r="A131" s="38" t="s">
        <v>30</v>
      </c>
      <c r="B131" s="38"/>
      <c r="C131" s="42">
        <v>0</v>
      </c>
      <c r="D131" s="42">
        <v>0</v>
      </c>
      <c r="E131" s="42">
        <v>0</v>
      </c>
      <c r="F131" t="str">
        <f t="shared" si="1"/>
        <v/>
      </c>
    </row>
    <row r="132" spans="1:6" x14ac:dyDescent="0.25">
      <c r="A132" s="39"/>
      <c r="B132" s="39" t="s">
        <v>66</v>
      </c>
      <c r="C132" s="41">
        <v>0</v>
      </c>
      <c r="D132" s="41">
        <v>0</v>
      </c>
      <c r="E132" s="41">
        <v>0</v>
      </c>
      <c r="F132" t="str">
        <f t="shared" si="1"/>
        <v>ﾌｧｲﾌﾞｴﾆｰ</v>
      </c>
    </row>
    <row r="133" spans="1:6" x14ac:dyDescent="0.25">
      <c r="A133" s="39"/>
      <c r="B133" s="39"/>
      <c r="C133" s="41"/>
      <c r="D133" s="41"/>
      <c r="E133" s="41"/>
      <c r="F133" t="str">
        <f t="shared" ref="F133:F196" si="2">IF(B133="","",IF(F132&lt;&gt;"",F132,A132))</f>
        <v/>
      </c>
    </row>
    <row r="134" spans="1:6" ht="14.25" x14ac:dyDescent="0.25">
      <c r="A134" s="38" t="s">
        <v>31</v>
      </c>
      <c r="B134" s="38"/>
      <c r="C134" s="42">
        <v>0</v>
      </c>
      <c r="D134" s="42">
        <v>0</v>
      </c>
      <c r="E134" s="42">
        <v>0</v>
      </c>
      <c r="F134" t="str">
        <f t="shared" si="2"/>
        <v/>
      </c>
    </row>
    <row r="135" spans="1:6" x14ac:dyDescent="0.25">
      <c r="A135" s="39"/>
      <c r="B135" s="39" t="s">
        <v>66</v>
      </c>
      <c r="C135" s="41">
        <v>0</v>
      </c>
      <c r="D135" s="41">
        <v>0</v>
      </c>
      <c r="E135" s="41">
        <v>0</v>
      </c>
      <c r="F135" t="str">
        <f t="shared" si="2"/>
        <v>ﾌｧｯｼｮﾝｺﾗﾎﾞ</v>
      </c>
    </row>
    <row r="136" spans="1:6" x14ac:dyDescent="0.25">
      <c r="A136" s="39"/>
      <c r="B136" s="39"/>
      <c r="C136" s="41"/>
      <c r="D136" s="41"/>
      <c r="E136" s="41"/>
      <c r="F136" t="str">
        <f t="shared" si="2"/>
        <v/>
      </c>
    </row>
    <row r="137" spans="1:6" ht="14.25" x14ac:dyDescent="0.25">
      <c r="A137" s="38" t="s">
        <v>32</v>
      </c>
      <c r="B137" s="38"/>
      <c r="C137" s="42">
        <v>9600</v>
      </c>
      <c r="D137" s="42">
        <v>8800</v>
      </c>
      <c r="E137" s="42">
        <v>800</v>
      </c>
      <c r="F137" t="str">
        <f t="shared" si="2"/>
        <v/>
      </c>
    </row>
    <row r="138" spans="1:6" x14ac:dyDescent="0.25">
      <c r="A138" s="39"/>
      <c r="B138" s="39" t="s">
        <v>54</v>
      </c>
      <c r="C138" s="41">
        <v>9600</v>
      </c>
      <c r="D138" s="41">
        <v>8800</v>
      </c>
      <c r="E138" s="41">
        <v>800</v>
      </c>
      <c r="F138" t="str">
        <f t="shared" si="2"/>
        <v>ﾗｲﾂｱﾊﾟｰﾄﾒﾝﾄ</v>
      </c>
    </row>
    <row r="139" spans="1:6" x14ac:dyDescent="0.25">
      <c r="A139" s="39"/>
      <c r="B139" s="39" t="s">
        <v>66</v>
      </c>
      <c r="C139" s="41">
        <v>0</v>
      </c>
      <c r="D139" s="41">
        <v>0</v>
      </c>
      <c r="E139" s="41">
        <v>0</v>
      </c>
      <c r="F139" t="str">
        <f t="shared" si="2"/>
        <v>ﾗｲﾂｱﾊﾟｰﾄﾒﾝﾄ</v>
      </c>
    </row>
    <row r="140" spans="1:6" x14ac:dyDescent="0.25">
      <c r="A140" s="39"/>
      <c r="B140" s="39"/>
      <c r="C140" s="41"/>
      <c r="D140" s="41"/>
      <c r="E140" s="41"/>
      <c r="F140" t="str">
        <f t="shared" si="2"/>
        <v/>
      </c>
    </row>
    <row r="141" spans="1:6" ht="14.25" x14ac:dyDescent="0.25">
      <c r="A141" s="38" t="s">
        <v>33</v>
      </c>
      <c r="B141" s="38"/>
      <c r="C141" s="42">
        <v>103070</v>
      </c>
      <c r="D141" s="42">
        <v>71736</v>
      </c>
      <c r="E141" s="42">
        <v>31334</v>
      </c>
      <c r="F141" t="str">
        <f t="shared" si="2"/>
        <v/>
      </c>
    </row>
    <row r="142" spans="1:6" x14ac:dyDescent="0.25">
      <c r="A142" s="39"/>
      <c r="B142" s="39" t="s">
        <v>54</v>
      </c>
      <c r="C142" s="41">
        <v>8800</v>
      </c>
      <c r="D142" s="41">
        <v>7920</v>
      </c>
      <c r="E142" s="41">
        <v>880</v>
      </c>
      <c r="F142" t="str">
        <f t="shared" si="2"/>
        <v>ﾜﾝｽﾀｰ</v>
      </c>
    </row>
    <row r="143" spans="1:6" x14ac:dyDescent="0.25">
      <c r="A143" s="39"/>
      <c r="B143" s="39" t="s">
        <v>56</v>
      </c>
      <c r="C143" s="41">
        <v>11760</v>
      </c>
      <c r="D143" s="41">
        <v>7431</v>
      </c>
      <c r="E143" s="41">
        <v>4329</v>
      </c>
      <c r="F143" t="str">
        <f t="shared" si="2"/>
        <v>ﾜﾝｽﾀｰ</v>
      </c>
    </row>
    <row r="144" spans="1:6" x14ac:dyDescent="0.25">
      <c r="A144" s="39"/>
      <c r="B144" s="39" t="s">
        <v>58</v>
      </c>
      <c r="C144" s="41">
        <v>1960</v>
      </c>
      <c r="D144" s="41">
        <v>0</v>
      </c>
      <c r="E144" s="41">
        <v>1960</v>
      </c>
      <c r="F144" t="str">
        <f t="shared" si="2"/>
        <v>ﾜﾝｽﾀｰ</v>
      </c>
    </row>
    <row r="145" spans="1:6" x14ac:dyDescent="0.25">
      <c r="A145" s="39"/>
      <c r="B145" s="39" t="s">
        <v>66</v>
      </c>
      <c r="C145" s="41">
        <v>80550</v>
      </c>
      <c r="D145" s="41">
        <v>56385</v>
      </c>
      <c r="E145" s="41">
        <v>24165</v>
      </c>
      <c r="F145" t="str">
        <f t="shared" si="2"/>
        <v>ﾜﾝｽﾀｰ</v>
      </c>
    </row>
    <row r="146" spans="1:6" x14ac:dyDescent="0.25">
      <c r="A146" s="39"/>
      <c r="B146" s="39"/>
      <c r="C146" s="41"/>
      <c r="D146" s="41"/>
      <c r="E146" s="41"/>
      <c r="F146" t="str">
        <f t="shared" si="2"/>
        <v/>
      </c>
    </row>
    <row r="147" spans="1:6" ht="14.25" x14ac:dyDescent="0.25">
      <c r="A147" s="38" t="s">
        <v>34</v>
      </c>
      <c r="B147" s="38"/>
      <c r="C147" s="42">
        <v>0</v>
      </c>
      <c r="D147" s="42">
        <v>0</v>
      </c>
      <c r="E147" s="42">
        <v>0</v>
      </c>
      <c r="F147" t="str">
        <f t="shared" si="2"/>
        <v/>
      </c>
    </row>
    <row r="148" spans="1:6" x14ac:dyDescent="0.25">
      <c r="A148" s="39"/>
      <c r="B148" s="39" t="s">
        <v>54</v>
      </c>
      <c r="C148" s="41">
        <v>0</v>
      </c>
      <c r="D148" s="41">
        <v>0</v>
      </c>
      <c r="E148" s="41">
        <v>0</v>
      </c>
      <c r="F148" t="str">
        <f t="shared" si="2"/>
        <v>山田養蜂場</v>
      </c>
    </row>
    <row r="149" spans="1:6" x14ac:dyDescent="0.25">
      <c r="A149" s="39"/>
      <c r="B149" s="39" t="s">
        <v>66</v>
      </c>
      <c r="C149" s="41">
        <v>0</v>
      </c>
      <c r="D149" s="41">
        <v>0</v>
      </c>
      <c r="E149" s="41">
        <v>0</v>
      </c>
      <c r="F149" t="str">
        <f t="shared" si="2"/>
        <v>山田養蜂場</v>
      </c>
    </row>
    <row r="150" spans="1:6" x14ac:dyDescent="0.25">
      <c r="A150" s="39"/>
      <c r="B150" s="39"/>
      <c r="C150" s="41"/>
      <c r="D150" s="41"/>
      <c r="E150" s="41"/>
      <c r="F150" t="str">
        <f t="shared" si="2"/>
        <v/>
      </c>
    </row>
    <row r="151" spans="1:6" ht="14.25" x14ac:dyDescent="0.25">
      <c r="A151" s="38" t="s">
        <v>35</v>
      </c>
      <c r="B151" s="38"/>
      <c r="C151" s="42"/>
      <c r="D151" s="42"/>
      <c r="E151" s="42"/>
      <c r="F151" t="str">
        <f t="shared" si="2"/>
        <v/>
      </c>
    </row>
    <row r="152" spans="1:6" x14ac:dyDescent="0.25">
      <c r="A152" s="39"/>
      <c r="B152" s="39" t="s">
        <v>67</v>
      </c>
      <c r="C152" s="41"/>
      <c r="D152" s="41"/>
      <c r="E152" s="41"/>
      <c r="F152" t="str">
        <f t="shared" si="2"/>
        <v>承認案件</v>
      </c>
    </row>
    <row r="153" spans="1:6" x14ac:dyDescent="0.25">
      <c r="A153" s="39"/>
      <c r="B153" s="39"/>
      <c r="C153" s="41"/>
      <c r="D153" s="41"/>
      <c r="E153" s="41"/>
      <c r="F153" t="str">
        <f t="shared" si="2"/>
        <v/>
      </c>
    </row>
    <row r="154" spans="1:6" ht="14.25" x14ac:dyDescent="0.25">
      <c r="A154" s="38" t="s">
        <v>36</v>
      </c>
      <c r="B154" s="38"/>
      <c r="C154" s="42">
        <v>89151</v>
      </c>
      <c r="D154" s="42">
        <v>75779</v>
      </c>
      <c r="E154" s="42">
        <v>13372</v>
      </c>
      <c r="F154" t="str">
        <f t="shared" si="2"/>
        <v/>
      </c>
    </row>
    <row r="155" spans="1:6" x14ac:dyDescent="0.25">
      <c r="A155" s="39"/>
      <c r="B155" s="39" t="s">
        <v>56</v>
      </c>
      <c r="C155" s="41">
        <v>89151</v>
      </c>
      <c r="D155" s="41">
        <v>75779</v>
      </c>
      <c r="E155" s="41">
        <v>13372</v>
      </c>
      <c r="F155" t="str">
        <f t="shared" si="2"/>
        <v>天創堂</v>
      </c>
    </row>
    <row r="156" spans="1:6" x14ac:dyDescent="0.25">
      <c r="A156" s="39"/>
      <c r="B156" s="39"/>
      <c r="C156" s="41"/>
      <c r="D156" s="41"/>
      <c r="E156" s="41"/>
      <c r="F156" t="str">
        <f t="shared" si="2"/>
        <v/>
      </c>
    </row>
    <row r="157" spans="1:6" ht="14.25" x14ac:dyDescent="0.25">
      <c r="A157" s="38" t="s">
        <v>37</v>
      </c>
      <c r="B157" s="38"/>
      <c r="C157" s="42">
        <v>0</v>
      </c>
      <c r="D157" s="42">
        <v>0</v>
      </c>
      <c r="E157" s="42">
        <v>0</v>
      </c>
      <c r="F157" t="str">
        <f t="shared" si="2"/>
        <v/>
      </c>
    </row>
    <row r="158" spans="1:6" x14ac:dyDescent="0.25">
      <c r="A158" s="39"/>
      <c r="B158" s="39" t="s">
        <v>54</v>
      </c>
      <c r="C158" s="41">
        <v>0</v>
      </c>
      <c r="D158" s="41">
        <v>0</v>
      </c>
      <c r="E158" s="41">
        <v>0</v>
      </c>
      <c r="F158" t="str">
        <f t="shared" si="2"/>
        <v>日経・TBSスマートメディア</v>
      </c>
    </row>
    <row r="159" spans="1:6" x14ac:dyDescent="0.25">
      <c r="A159" s="39"/>
      <c r="B159" s="39" t="s">
        <v>57</v>
      </c>
      <c r="C159" s="41">
        <v>0</v>
      </c>
      <c r="D159" s="41">
        <v>0</v>
      </c>
      <c r="E159" s="41">
        <v>0</v>
      </c>
      <c r="F159" t="str">
        <f t="shared" si="2"/>
        <v>日経・TBSスマートメディア</v>
      </c>
    </row>
    <row r="160" spans="1:6" x14ac:dyDescent="0.25">
      <c r="A160" s="39"/>
      <c r="B160" s="39"/>
      <c r="C160" s="41"/>
      <c r="D160" s="41"/>
      <c r="E160" s="41"/>
      <c r="F160" t="str">
        <f t="shared" si="2"/>
        <v/>
      </c>
    </row>
    <row r="161" spans="1:6" ht="14.25" x14ac:dyDescent="0.25">
      <c r="A161" s="38" t="s">
        <v>38</v>
      </c>
      <c r="B161" s="38"/>
      <c r="C161" s="42">
        <v>0</v>
      </c>
      <c r="D161" s="42">
        <v>0</v>
      </c>
      <c r="E161" s="42">
        <v>0</v>
      </c>
      <c r="F161" t="str">
        <f t="shared" si="2"/>
        <v/>
      </c>
    </row>
    <row r="162" spans="1:6" x14ac:dyDescent="0.25">
      <c r="A162" s="39"/>
      <c r="B162" s="39" t="s">
        <v>54</v>
      </c>
      <c r="C162" s="41">
        <v>0</v>
      </c>
      <c r="D162" s="41">
        <v>0</v>
      </c>
      <c r="E162" s="41">
        <v>0</v>
      </c>
      <c r="F162" t="str">
        <f t="shared" si="2"/>
        <v>北の達人</v>
      </c>
    </row>
    <row r="163" spans="1:6" x14ac:dyDescent="0.25">
      <c r="A163" s="39"/>
      <c r="B163" s="39"/>
      <c r="C163" s="43"/>
      <c r="D163" s="43"/>
      <c r="E163" s="43"/>
      <c r="F163" t="str">
        <f t="shared" si="2"/>
        <v/>
      </c>
    </row>
    <row r="164" spans="1:6" x14ac:dyDescent="0.25">
      <c r="F164" t="str">
        <f t="shared" si="2"/>
        <v/>
      </c>
    </row>
    <row r="165" spans="1:6" x14ac:dyDescent="0.25">
      <c r="F165" t="str">
        <f t="shared" si="2"/>
        <v/>
      </c>
    </row>
    <row r="166" spans="1:6" x14ac:dyDescent="0.25">
      <c r="F166" t="str">
        <f t="shared" si="2"/>
        <v/>
      </c>
    </row>
    <row r="167" spans="1:6" x14ac:dyDescent="0.25">
      <c r="F167" t="str">
        <f t="shared" si="2"/>
        <v/>
      </c>
    </row>
    <row r="168" spans="1:6" x14ac:dyDescent="0.25">
      <c r="F168" t="str">
        <f t="shared" si="2"/>
        <v/>
      </c>
    </row>
    <row r="169" spans="1:6" x14ac:dyDescent="0.25">
      <c r="F169" t="str">
        <f t="shared" si="2"/>
        <v/>
      </c>
    </row>
    <row r="170" spans="1:6" x14ac:dyDescent="0.25">
      <c r="F170" t="str">
        <f t="shared" si="2"/>
        <v/>
      </c>
    </row>
    <row r="171" spans="1:6" x14ac:dyDescent="0.25">
      <c r="F171" t="str">
        <f t="shared" si="2"/>
        <v/>
      </c>
    </row>
    <row r="172" spans="1:6" x14ac:dyDescent="0.25">
      <c r="F172" t="str">
        <f t="shared" si="2"/>
        <v/>
      </c>
    </row>
    <row r="173" spans="1:6" x14ac:dyDescent="0.25">
      <c r="F173" t="str">
        <f t="shared" si="2"/>
        <v/>
      </c>
    </row>
    <row r="174" spans="1:6" x14ac:dyDescent="0.25">
      <c r="F174" t="str">
        <f t="shared" si="2"/>
        <v/>
      </c>
    </row>
    <row r="175" spans="1:6" x14ac:dyDescent="0.25">
      <c r="F175" t="str">
        <f t="shared" si="2"/>
        <v/>
      </c>
    </row>
    <row r="176" spans="1:6" x14ac:dyDescent="0.25">
      <c r="F176" t="str">
        <f t="shared" si="2"/>
        <v/>
      </c>
    </row>
    <row r="177" spans="6:6" x14ac:dyDescent="0.25">
      <c r="F177" t="str">
        <f t="shared" si="2"/>
        <v/>
      </c>
    </row>
    <row r="178" spans="6:6" x14ac:dyDescent="0.25">
      <c r="F178" t="str">
        <f t="shared" si="2"/>
        <v/>
      </c>
    </row>
    <row r="179" spans="6:6" x14ac:dyDescent="0.25">
      <c r="F179" t="str">
        <f t="shared" si="2"/>
        <v/>
      </c>
    </row>
    <row r="180" spans="6:6" x14ac:dyDescent="0.25">
      <c r="F180" t="str">
        <f t="shared" si="2"/>
        <v/>
      </c>
    </row>
    <row r="181" spans="6:6" x14ac:dyDescent="0.25">
      <c r="F181" t="str">
        <f t="shared" si="2"/>
        <v/>
      </c>
    </row>
    <row r="182" spans="6:6" x14ac:dyDescent="0.25">
      <c r="F182" t="str">
        <f t="shared" si="2"/>
        <v/>
      </c>
    </row>
    <row r="183" spans="6:6" x14ac:dyDescent="0.25">
      <c r="F183" t="str">
        <f t="shared" si="2"/>
        <v/>
      </c>
    </row>
    <row r="184" spans="6:6" x14ac:dyDescent="0.25">
      <c r="F184" t="str">
        <f t="shared" si="2"/>
        <v/>
      </c>
    </row>
    <row r="185" spans="6:6" x14ac:dyDescent="0.25">
      <c r="F185" t="str">
        <f t="shared" si="2"/>
        <v/>
      </c>
    </row>
    <row r="186" spans="6:6" x14ac:dyDescent="0.25">
      <c r="F186" t="str">
        <f t="shared" si="2"/>
        <v/>
      </c>
    </row>
    <row r="187" spans="6:6" x14ac:dyDescent="0.25">
      <c r="F187" t="str">
        <f t="shared" si="2"/>
        <v/>
      </c>
    </row>
    <row r="188" spans="6:6" x14ac:dyDescent="0.25">
      <c r="F188" t="str">
        <f t="shared" si="2"/>
        <v/>
      </c>
    </row>
    <row r="189" spans="6:6" x14ac:dyDescent="0.25">
      <c r="F189" t="str">
        <f t="shared" si="2"/>
        <v/>
      </c>
    </row>
    <row r="190" spans="6:6" x14ac:dyDescent="0.25">
      <c r="F190" t="str">
        <f t="shared" si="2"/>
        <v/>
      </c>
    </row>
    <row r="191" spans="6:6" x14ac:dyDescent="0.25">
      <c r="F191" t="str">
        <f t="shared" si="2"/>
        <v/>
      </c>
    </row>
    <row r="192" spans="6:6" x14ac:dyDescent="0.25">
      <c r="F192" t="str">
        <f t="shared" si="2"/>
        <v/>
      </c>
    </row>
    <row r="193" spans="6:6" x14ac:dyDescent="0.25">
      <c r="F193" t="str">
        <f t="shared" si="2"/>
        <v/>
      </c>
    </row>
    <row r="194" spans="6:6" x14ac:dyDescent="0.25">
      <c r="F194" t="str">
        <f t="shared" si="2"/>
        <v/>
      </c>
    </row>
    <row r="195" spans="6:6" x14ac:dyDescent="0.25">
      <c r="F195" t="str">
        <f t="shared" si="2"/>
        <v/>
      </c>
    </row>
    <row r="196" spans="6:6" x14ac:dyDescent="0.25">
      <c r="F196" t="str">
        <f t="shared" si="2"/>
        <v/>
      </c>
    </row>
    <row r="197" spans="6:6" x14ac:dyDescent="0.25">
      <c r="F197" t="str">
        <f t="shared" ref="F197:F260" si="3">IF(B197="","",IF(F196&lt;&gt;"",F196,A196))</f>
        <v/>
      </c>
    </row>
    <row r="198" spans="6:6" x14ac:dyDescent="0.25">
      <c r="F198" t="str">
        <f t="shared" si="3"/>
        <v/>
      </c>
    </row>
    <row r="199" spans="6:6" x14ac:dyDescent="0.25">
      <c r="F199" t="str">
        <f t="shared" si="3"/>
        <v/>
      </c>
    </row>
    <row r="200" spans="6:6" x14ac:dyDescent="0.25">
      <c r="F200" t="str">
        <f t="shared" si="3"/>
        <v/>
      </c>
    </row>
    <row r="201" spans="6:6" x14ac:dyDescent="0.25">
      <c r="F201" t="str">
        <f t="shared" si="3"/>
        <v/>
      </c>
    </row>
    <row r="202" spans="6:6" x14ac:dyDescent="0.25">
      <c r="F202" t="str">
        <f t="shared" si="3"/>
        <v/>
      </c>
    </row>
    <row r="203" spans="6:6" x14ac:dyDescent="0.25">
      <c r="F203" t="str">
        <f t="shared" si="3"/>
        <v/>
      </c>
    </row>
    <row r="204" spans="6:6" x14ac:dyDescent="0.25">
      <c r="F204" t="str">
        <f t="shared" si="3"/>
        <v/>
      </c>
    </row>
    <row r="205" spans="6:6" x14ac:dyDescent="0.25">
      <c r="F205" t="str">
        <f t="shared" si="3"/>
        <v/>
      </c>
    </row>
    <row r="206" spans="6:6" x14ac:dyDescent="0.25">
      <c r="F206" t="str">
        <f t="shared" si="3"/>
        <v/>
      </c>
    </row>
    <row r="207" spans="6:6" x14ac:dyDescent="0.25">
      <c r="F207" t="str">
        <f t="shared" si="3"/>
        <v/>
      </c>
    </row>
    <row r="208" spans="6:6" x14ac:dyDescent="0.25">
      <c r="F208" t="str">
        <f t="shared" si="3"/>
        <v/>
      </c>
    </row>
    <row r="209" spans="6:6" x14ac:dyDescent="0.25">
      <c r="F209" t="str">
        <f t="shared" si="3"/>
        <v/>
      </c>
    </row>
    <row r="210" spans="6:6" x14ac:dyDescent="0.25">
      <c r="F210" t="str">
        <f t="shared" si="3"/>
        <v/>
      </c>
    </row>
    <row r="211" spans="6:6" x14ac:dyDescent="0.25">
      <c r="F211" t="str">
        <f t="shared" si="3"/>
        <v/>
      </c>
    </row>
    <row r="212" spans="6:6" x14ac:dyDescent="0.25">
      <c r="F212" t="str">
        <f t="shared" si="3"/>
        <v/>
      </c>
    </row>
    <row r="213" spans="6:6" x14ac:dyDescent="0.25">
      <c r="F213" t="str">
        <f t="shared" si="3"/>
        <v/>
      </c>
    </row>
    <row r="214" spans="6:6" x14ac:dyDescent="0.25">
      <c r="F214" t="str">
        <f t="shared" si="3"/>
        <v/>
      </c>
    </row>
    <row r="215" spans="6:6" x14ac:dyDescent="0.25">
      <c r="F215" t="str">
        <f t="shared" si="3"/>
        <v/>
      </c>
    </row>
    <row r="216" spans="6:6" x14ac:dyDescent="0.25">
      <c r="F216" t="str">
        <f t="shared" si="3"/>
        <v/>
      </c>
    </row>
    <row r="217" spans="6:6" x14ac:dyDescent="0.25">
      <c r="F217" t="str">
        <f t="shared" si="3"/>
        <v/>
      </c>
    </row>
    <row r="218" spans="6:6" x14ac:dyDescent="0.25">
      <c r="F218" t="str">
        <f t="shared" si="3"/>
        <v/>
      </c>
    </row>
    <row r="219" spans="6:6" x14ac:dyDescent="0.25">
      <c r="F219" t="str">
        <f t="shared" si="3"/>
        <v/>
      </c>
    </row>
    <row r="220" spans="6:6" x14ac:dyDescent="0.25">
      <c r="F220" t="str">
        <f t="shared" si="3"/>
        <v/>
      </c>
    </row>
    <row r="221" spans="6:6" x14ac:dyDescent="0.25">
      <c r="F221" t="str">
        <f t="shared" si="3"/>
        <v/>
      </c>
    </row>
    <row r="222" spans="6:6" x14ac:dyDescent="0.25">
      <c r="F222" t="str">
        <f t="shared" si="3"/>
        <v/>
      </c>
    </row>
    <row r="223" spans="6:6" x14ac:dyDescent="0.25">
      <c r="F223" t="str">
        <f t="shared" si="3"/>
        <v/>
      </c>
    </row>
    <row r="224" spans="6:6" x14ac:dyDescent="0.25">
      <c r="F224" t="str">
        <f t="shared" si="3"/>
        <v/>
      </c>
    </row>
    <row r="225" spans="6:6" x14ac:dyDescent="0.25">
      <c r="F225" t="str">
        <f t="shared" si="3"/>
        <v/>
      </c>
    </row>
    <row r="226" spans="6:6" x14ac:dyDescent="0.25">
      <c r="F226" t="str">
        <f t="shared" si="3"/>
        <v/>
      </c>
    </row>
    <row r="227" spans="6:6" x14ac:dyDescent="0.25">
      <c r="F227" t="str">
        <f t="shared" si="3"/>
        <v/>
      </c>
    </row>
    <row r="228" spans="6:6" x14ac:dyDescent="0.25">
      <c r="F228" t="str">
        <f t="shared" si="3"/>
        <v/>
      </c>
    </row>
    <row r="229" spans="6:6" x14ac:dyDescent="0.25">
      <c r="F229" t="str">
        <f t="shared" si="3"/>
        <v/>
      </c>
    </row>
    <row r="230" spans="6:6" x14ac:dyDescent="0.25">
      <c r="F230" t="str">
        <f t="shared" si="3"/>
        <v/>
      </c>
    </row>
    <row r="231" spans="6:6" x14ac:dyDescent="0.25">
      <c r="F231" t="str">
        <f t="shared" si="3"/>
        <v/>
      </c>
    </row>
    <row r="232" spans="6:6" x14ac:dyDescent="0.25">
      <c r="F232" t="str">
        <f t="shared" si="3"/>
        <v/>
      </c>
    </row>
    <row r="233" spans="6:6" x14ac:dyDescent="0.25">
      <c r="F233" t="str">
        <f t="shared" si="3"/>
        <v/>
      </c>
    </row>
    <row r="234" spans="6:6" x14ac:dyDescent="0.25">
      <c r="F234" t="str">
        <f t="shared" si="3"/>
        <v/>
      </c>
    </row>
    <row r="235" spans="6:6" x14ac:dyDescent="0.25">
      <c r="F235" t="str">
        <f t="shared" si="3"/>
        <v/>
      </c>
    </row>
    <row r="236" spans="6:6" x14ac:dyDescent="0.25">
      <c r="F236" t="str">
        <f t="shared" si="3"/>
        <v/>
      </c>
    </row>
    <row r="237" spans="6:6" x14ac:dyDescent="0.25">
      <c r="F237" t="str">
        <f t="shared" si="3"/>
        <v/>
      </c>
    </row>
    <row r="238" spans="6:6" x14ac:dyDescent="0.25">
      <c r="F238" t="str">
        <f t="shared" si="3"/>
        <v/>
      </c>
    </row>
    <row r="239" spans="6:6" x14ac:dyDescent="0.25">
      <c r="F239" t="str">
        <f t="shared" si="3"/>
        <v/>
      </c>
    </row>
    <row r="240" spans="6:6" x14ac:dyDescent="0.25">
      <c r="F240" t="str">
        <f t="shared" si="3"/>
        <v/>
      </c>
    </row>
    <row r="241" spans="6:6" x14ac:dyDescent="0.25">
      <c r="F241" t="str">
        <f t="shared" si="3"/>
        <v/>
      </c>
    </row>
    <row r="242" spans="6:6" x14ac:dyDescent="0.25">
      <c r="F242" t="str">
        <f t="shared" si="3"/>
        <v/>
      </c>
    </row>
    <row r="243" spans="6:6" x14ac:dyDescent="0.25">
      <c r="F243" t="str">
        <f t="shared" si="3"/>
        <v/>
      </c>
    </row>
    <row r="244" spans="6:6" x14ac:dyDescent="0.25">
      <c r="F244" t="str">
        <f t="shared" si="3"/>
        <v/>
      </c>
    </row>
    <row r="245" spans="6:6" x14ac:dyDescent="0.25">
      <c r="F245" t="str">
        <f t="shared" si="3"/>
        <v/>
      </c>
    </row>
    <row r="246" spans="6:6" x14ac:dyDescent="0.25">
      <c r="F246" t="str">
        <f t="shared" si="3"/>
        <v/>
      </c>
    </row>
    <row r="247" spans="6:6" x14ac:dyDescent="0.25">
      <c r="F247" t="str">
        <f t="shared" si="3"/>
        <v/>
      </c>
    </row>
    <row r="248" spans="6:6" x14ac:dyDescent="0.25">
      <c r="F248" t="str">
        <f t="shared" si="3"/>
        <v/>
      </c>
    </row>
    <row r="249" spans="6:6" x14ac:dyDescent="0.25">
      <c r="F249" t="str">
        <f t="shared" si="3"/>
        <v/>
      </c>
    </row>
    <row r="250" spans="6:6" x14ac:dyDescent="0.25">
      <c r="F250" t="str">
        <f t="shared" si="3"/>
        <v/>
      </c>
    </row>
    <row r="251" spans="6:6" x14ac:dyDescent="0.25">
      <c r="F251" t="str">
        <f t="shared" si="3"/>
        <v/>
      </c>
    </row>
    <row r="252" spans="6:6" x14ac:dyDescent="0.25">
      <c r="F252" t="str">
        <f t="shared" si="3"/>
        <v/>
      </c>
    </row>
    <row r="253" spans="6:6" x14ac:dyDescent="0.25">
      <c r="F253" t="str">
        <f t="shared" si="3"/>
        <v/>
      </c>
    </row>
    <row r="254" spans="6:6" x14ac:dyDescent="0.25">
      <c r="F254" t="str">
        <f t="shared" si="3"/>
        <v/>
      </c>
    </row>
    <row r="255" spans="6:6" x14ac:dyDescent="0.25">
      <c r="F255" t="str">
        <f t="shared" si="3"/>
        <v/>
      </c>
    </row>
    <row r="256" spans="6:6" x14ac:dyDescent="0.25">
      <c r="F256" t="str">
        <f t="shared" si="3"/>
        <v/>
      </c>
    </row>
    <row r="257" spans="6:6" x14ac:dyDescent="0.25">
      <c r="F257" t="str">
        <f t="shared" si="3"/>
        <v/>
      </c>
    </row>
    <row r="258" spans="6:6" x14ac:dyDescent="0.25">
      <c r="F258" t="str">
        <f t="shared" si="3"/>
        <v/>
      </c>
    </row>
    <row r="259" spans="6:6" x14ac:dyDescent="0.25">
      <c r="F259" t="str">
        <f t="shared" si="3"/>
        <v/>
      </c>
    </row>
    <row r="260" spans="6:6" x14ac:dyDescent="0.25">
      <c r="F260" t="str">
        <f t="shared" si="3"/>
        <v/>
      </c>
    </row>
    <row r="261" spans="6:6" x14ac:dyDescent="0.25">
      <c r="F261" t="str">
        <f t="shared" ref="F261:F324" si="4">IF(B261="","",IF(F260&lt;&gt;"",F260,A260))</f>
        <v/>
      </c>
    </row>
    <row r="262" spans="6:6" x14ac:dyDescent="0.25">
      <c r="F262" t="str">
        <f t="shared" si="4"/>
        <v/>
      </c>
    </row>
    <row r="263" spans="6:6" x14ac:dyDescent="0.25">
      <c r="F263" t="str">
        <f t="shared" si="4"/>
        <v/>
      </c>
    </row>
    <row r="264" spans="6:6" x14ac:dyDescent="0.25">
      <c r="F264" t="str">
        <f t="shared" si="4"/>
        <v/>
      </c>
    </row>
    <row r="265" spans="6:6" x14ac:dyDescent="0.25">
      <c r="F265" t="str">
        <f t="shared" si="4"/>
        <v/>
      </c>
    </row>
    <row r="266" spans="6:6" x14ac:dyDescent="0.25">
      <c r="F266" t="str">
        <f t="shared" si="4"/>
        <v/>
      </c>
    </row>
    <row r="267" spans="6:6" x14ac:dyDescent="0.25">
      <c r="F267" t="str">
        <f t="shared" si="4"/>
        <v/>
      </c>
    </row>
    <row r="268" spans="6:6" x14ac:dyDescent="0.25">
      <c r="F268" t="str">
        <f t="shared" si="4"/>
        <v/>
      </c>
    </row>
    <row r="269" spans="6:6" x14ac:dyDescent="0.25">
      <c r="F269" t="str">
        <f t="shared" si="4"/>
        <v/>
      </c>
    </row>
    <row r="270" spans="6:6" x14ac:dyDescent="0.25">
      <c r="F270" t="str">
        <f t="shared" si="4"/>
        <v/>
      </c>
    </row>
    <row r="271" spans="6:6" x14ac:dyDescent="0.25">
      <c r="F271" t="str">
        <f t="shared" si="4"/>
        <v/>
      </c>
    </row>
    <row r="272" spans="6:6" x14ac:dyDescent="0.25">
      <c r="F272" t="str">
        <f t="shared" si="4"/>
        <v/>
      </c>
    </row>
    <row r="273" spans="6:6" x14ac:dyDescent="0.25">
      <c r="F273" t="str">
        <f t="shared" si="4"/>
        <v/>
      </c>
    </row>
    <row r="274" spans="6:6" x14ac:dyDescent="0.25">
      <c r="F274" t="str">
        <f t="shared" si="4"/>
        <v/>
      </c>
    </row>
    <row r="275" spans="6:6" x14ac:dyDescent="0.25">
      <c r="F275" t="str">
        <f t="shared" si="4"/>
        <v/>
      </c>
    </row>
    <row r="276" spans="6:6" x14ac:dyDescent="0.25">
      <c r="F276" t="str">
        <f t="shared" si="4"/>
        <v/>
      </c>
    </row>
    <row r="277" spans="6:6" x14ac:dyDescent="0.25">
      <c r="F277" t="str">
        <f t="shared" si="4"/>
        <v/>
      </c>
    </row>
    <row r="278" spans="6:6" x14ac:dyDescent="0.25">
      <c r="F278" t="str">
        <f t="shared" si="4"/>
        <v/>
      </c>
    </row>
    <row r="279" spans="6:6" x14ac:dyDescent="0.25">
      <c r="F279" t="str">
        <f t="shared" si="4"/>
        <v/>
      </c>
    </row>
    <row r="280" spans="6:6" x14ac:dyDescent="0.25">
      <c r="F280" t="str">
        <f t="shared" si="4"/>
        <v/>
      </c>
    </row>
    <row r="281" spans="6:6" x14ac:dyDescent="0.25">
      <c r="F281" t="str">
        <f t="shared" si="4"/>
        <v/>
      </c>
    </row>
    <row r="282" spans="6:6" x14ac:dyDescent="0.25">
      <c r="F282" t="str">
        <f t="shared" si="4"/>
        <v/>
      </c>
    </row>
    <row r="283" spans="6:6" x14ac:dyDescent="0.25">
      <c r="F283" t="str">
        <f t="shared" si="4"/>
        <v/>
      </c>
    </row>
    <row r="284" spans="6:6" x14ac:dyDescent="0.25">
      <c r="F284" t="str">
        <f t="shared" si="4"/>
        <v/>
      </c>
    </row>
    <row r="285" spans="6:6" x14ac:dyDescent="0.25">
      <c r="F285" t="str">
        <f t="shared" si="4"/>
        <v/>
      </c>
    </row>
    <row r="286" spans="6:6" x14ac:dyDescent="0.25">
      <c r="F286" t="str">
        <f t="shared" si="4"/>
        <v/>
      </c>
    </row>
    <row r="287" spans="6:6" x14ac:dyDescent="0.25">
      <c r="F287" t="str">
        <f t="shared" si="4"/>
        <v/>
      </c>
    </row>
    <row r="288" spans="6:6" x14ac:dyDescent="0.25">
      <c r="F288" t="str">
        <f t="shared" si="4"/>
        <v/>
      </c>
    </row>
    <row r="289" spans="6:6" x14ac:dyDescent="0.25">
      <c r="F289" t="str">
        <f t="shared" si="4"/>
        <v/>
      </c>
    </row>
    <row r="290" spans="6:6" x14ac:dyDescent="0.25">
      <c r="F290" t="str">
        <f t="shared" si="4"/>
        <v/>
      </c>
    </row>
    <row r="291" spans="6:6" x14ac:dyDescent="0.25">
      <c r="F291" t="str">
        <f t="shared" si="4"/>
        <v/>
      </c>
    </row>
    <row r="292" spans="6:6" x14ac:dyDescent="0.25">
      <c r="F292" t="str">
        <f t="shared" si="4"/>
        <v/>
      </c>
    </row>
    <row r="293" spans="6:6" x14ac:dyDescent="0.25">
      <c r="F293" t="str">
        <f t="shared" si="4"/>
        <v/>
      </c>
    </row>
    <row r="294" spans="6:6" x14ac:dyDescent="0.25">
      <c r="F294" t="str">
        <f t="shared" si="4"/>
        <v/>
      </c>
    </row>
    <row r="295" spans="6:6" x14ac:dyDescent="0.25">
      <c r="F295" t="str">
        <f t="shared" si="4"/>
        <v/>
      </c>
    </row>
    <row r="296" spans="6:6" x14ac:dyDescent="0.25">
      <c r="F296" t="str">
        <f t="shared" si="4"/>
        <v/>
      </c>
    </row>
    <row r="297" spans="6:6" x14ac:dyDescent="0.25">
      <c r="F297" t="str">
        <f t="shared" si="4"/>
        <v/>
      </c>
    </row>
    <row r="298" spans="6:6" x14ac:dyDescent="0.25">
      <c r="F298" t="str">
        <f t="shared" si="4"/>
        <v/>
      </c>
    </row>
    <row r="299" spans="6:6" x14ac:dyDescent="0.25">
      <c r="F299" t="str">
        <f t="shared" si="4"/>
        <v/>
      </c>
    </row>
    <row r="300" spans="6:6" x14ac:dyDescent="0.25">
      <c r="F300" t="str">
        <f t="shared" si="4"/>
        <v/>
      </c>
    </row>
    <row r="301" spans="6:6" x14ac:dyDescent="0.25">
      <c r="F301" t="str">
        <f t="shared" si="4"/>
        <v/>
      </c>
    </row>
    <row r="302" spans="6:6" x14ac:dyDescent="0.25">
      <c r="F302" t="str">
        <f t="shared" si="4"/>
        <v/>
      </c>
    </row>
    <row r="303" spans="6:6" x14ac:dyDescent="0.25">
      <c r="F303" t="str">
        <f t="shared" si="4"/>
        <v/>
      </c>
    </row>
    <row r="304" spans="6:6" x14ac:dyDescent="0.25">
      <c r="F304" t="str">
        <f t="shared" si="4"/>
        <v/>
      </c>
    </row>
    <row r="305" spans="6:6" x14ac:dyDescent="0.25">
      <c r="F305" t="str">
        <f t="shared" si="4"/>
        <v/>
      </c>
    </row>
    <row r="306" spans="6:6" x14ac:dyDescent="0.25">
      <c r="F306" t="str">
        <f t="shared" si="4"/>
        <v/>
      </c>
    </row>
    <row r="307" spans="6:6" x14ac:dyDescent="0.25">
      <c r="F307" t="str">
        <f t="shared" si="4"/>
        <v/>
      </c>
    </row>
    <row r="308" spans="6:6" x14ac:dyDescent="0.25">
      <c r="F308" t="str">
        <f t="shared" si="4"/>
        <v/>
      </c>
    </row>
    <row r="309" spans="6:6" x14ac:dyDescent="0.25">
      <c r="F309" t="str">
        <f t="shared" si="4"/>
        <v/>
      </c>
    </row>
    <row r="310" spans="6:6" x14ac:dyDescent="0.25">
      <c r="F310" t="str">
        <f t="shared" si="4"/>
        <v/>
      </c>
    </row>
    <row r="311" spans="6:6" x14ac:dyDescent="0.25">
      <c r="F311" t="str">
        <f t="shared" si="4"/>
        <v/>
      </c>
    </row>
    <row r="312" spans="6:6" x14ac:dyDescent="0.25">
      <c r="F312" t="str">
        <f t="shared" si="4"/>
        <v/>
      </c>
    </row>
    <row r="313" spans="6:6" x14ac:dyDescent="0.25">
      <c r="F313" t="str">
        <f t="shared" si="4"/>
        <v/>
      </c>
    </row>
    <row r="314" spans="6:6" x14ac:dyDescent="0.25">
      <c r="F314" t="str">
        <f t="shared" si="4"/>
        <v/>
      </c>
    </row>
    <row r="315" spans="6:6" x14ac:dyDescent="0.25">
      <c r="F315" t="str">
        <f t="shared" si="4"/>
        <v/>
      </c>
    </row>
    <row r="316" spans="6:6" x14ac:dyDescent="0.25">
      <c r="F316" t="str">
        <f t="shared" si="4"/>
        <v/>
      </c>
    </row>
    <row r="317" spans="6:6" x14ac:dyDescent="0.25">
      <c r="F317" t="str">
        <f t="shared" si="4"/>
        <v/>
      </c>
    </row>
    <row r="318" spans="6:6" x14ac:dyDescent="0.25">
      <c r="F318" t="str">
        <f t="shared" si="4"/>
        <v/>
      </c>
    </row>
    <row r="319" spans="6:6" x14ac:dyDescent="0.25">
      <c r="F319" t="str">
        <f t="shared" si="4"/>
        <v/>
      </c>
    </row>
    <row r="320" spans="6:6" x14ac:dyDescent="0.25">
      <c r="F320" t="str">
        <f t="shared" si="4"/>
        <v/>
      </c>
    </row>
    <row r="321" spans="6:6" x14ac:dyDescent="0.25">
      <c r="F321" t="str">
        <f t="shared" si="4"/>
        <v/>
      </c>
    </row>
    <row r="322" spans="6:6" x14ac:dyDescent="0.25">
      <c r="F322" t="str">
        <f t="shared" si="4"/>
        <v/>
      </c>
    </row>
    <row r="323" spans="6:6" x14ac:dyDescent="0.25">
      <c r="F323" t="str">
        <f t="shared" si="4"/>
        <v/>
      </c>
    </row>
    <row r="324" spans="6:6" x14ac:dyDescent="0.25">
      <c r="F324" t="str">
        <f t="shared" si="4"/>
        <v/>
      </c>
    </row>
    <row r="325" spans="6:6" x14ac:dyDescent="0.25">
      <c r="F325" t="str">
        <f t="shared" ref="F325:F383" si="5">IF(B325="","",IF(F324&lt;&gt;"",F324,A324))</f>
        <v/>
      </c>
    </row>
    <row r="326" spans="6:6" x14ac:dyDescent="0.25">
      <c r="F326" t="str">
        <f t="shared" si="5"/>
        <v/>
      </c>
    </row>
    <row r="327" spans="6:6" x14ac:dyDescent="0.25">
      <c r="F327" t="str">
        <f t="shared" si="5"/>
        <v/>
      </c>
    </row>
    <row r="328" spans="6:6" x14ac:dyDescent="0.25">
      <c r="F328" t="str">
        <f t="shared" si="5"/>
        <v/>
      </c>
    </row>
    <row r="329" spans="6:6" x14ac:dyDescent="0.25">
      <c r="F329" t="str">
        <f t="shared" si="5"/>
        <v/>
      </c>
    </row>
    <row r="330" spans="6:6" x14ac:dyDescent="0.25">
      <c r="F330" t="str">
        <f t="shared" si="5"/>
        <v/>
      </c>
    </row>
    <row r="331" spans="6:6" x14ac:dyDescent="0.25">
      <c r="F331" t="str">
        <f t="shared" si="5"/>
        <v/>
      </c>
    </row>
    <row r="332" spans="6:6" x14ac:dyDescent="0.25">
      <c r="F332" t="str">
        <f t="shared" si="5"/>
        <v/>
      </c>
    </row>
    <row r="333" spans="6:6" x14ac:dyDescent="0.25">
      <c r="F333" t="str">
        <f t="shared" si="5"/>
        <v/>
      </c>
    </row>
    <row r="334" spans="6:6" x14ac:dyDescent="0.25">
      <c r="F334" t="str">
        <f t="shared" si="5"/>
        <v/>
      </c>
    </row>
    <row r="335" spans="6:6" x14ac:dyDescent="0.25">
      <c r="F335" t="str">
        <f t="shared" si="5"/>
        <v/>
      </c>
    </row>
    <row r="336" spans="6:6" x14ac:dyDescent="0.25">
      <c r="F336" t="str">
        <f t="shared" si="5"/>
        <v/>
      </c>
    </row>
    <row r="337" spans="6:6" x14ac:dyDescent="0.25">
      <c r="F337" t="str">
        <f t="shared" si="5"/>
        <v/>
      </c>
    </row>
    <row r="338" spans="6:6" x14ac:dyDescent="0.25">
      <c r="F338" t="str">
        <f t="shared" si="5"/>
        <v/>
      </c>
    </row>
    <row r="339" spans="6:6" x14ac:dyDescent="0.25">
      <c r="F339" t="str">
        <f t="shared" si="5"/>
        <v/>
      </c>
    </row>
    <row r="340" spans="6:6" x14ac:dyDescent="0.25">
      <c r="F340" t="str">
        <f t="shared" si="5"/>
        <v/>
      </c>
    </row>
    <row r="341" spans="6:6" x14ac:dyDescent="0.25">
      <c r="F341" t="str">
        <f t="shared" si="5"/>
        <v/>
      </c>
    </row>
    <row r="342" spans="6:6" x14ac:dyDescent="0.25">
      <c r="F342" t="str">
        <f t="shared" si="5"/>
        <v/>
      </c>
    </row>
    <row r="343" spans="6:6" x14ac:dyDescent="0.25">
      <c r="F343" t="str">
        <f t="shared" si="5"/>
        <v/>
      </c>
    </row>
    <row r="344" spans="6:6" x14ac:dyDescent="0.25">
      <c r="F344" t="str">
        <f t="shared" si="5"/>
        <v/>
      </c>
    </row>
    <row r="345" spans="6:6" x14ac:dyDescent="0.25">
      <c r="F345" t="str">
        <f t="shared" si="5"/>
        <v/>
      </c>
    </row>
    <row r="346" spans="6:6" x14ac:dyDescent="0.25">
      <c r="F346" t="str">
        <f t="shared" si="5"/>
        <v/>
      </c>
    </row>
    <row r="347" spans="6:6" x14ac:dyDescent="0.25">
      <c r="F347" t="str">
        <f t="shared" si="5"/>
        <v/>
      </c>
    </row>
    <row r="348" spans="6:6" x14ac:dyDescent="0.25">
      <c r="F348" t="str">
        <f t="shared" si="5"/>
        <v/>
      </c>
    </row>
    <row r="349" spans="6:6" x14ac:dyDescent="0.25">
      <c r="F349" t="str">
        <f t="shared" si="5"/>
        <v/>
      </c>
    </row>
    <row r="350" spans="6:6" x14ac:dyDescent="0.25">
      <c r="F350" t="str">
        <f t="shared" si="5"/>
        <v/>
      </c>
    </row>
    <row r="351" spans="6:6" x14ac:dyDescent="0.25">
      <c r="F351" t="str">
        <f t="shared" si="5"/>
        <v/>
      </c>
    </row>
    <row r="352" spans="6:6" x14ac:dyDescent="0.25">
      <c r="F352" t="str">
        <f t="shared" si="5"/>
        <v/>
      </c>
    </row>
    <row r="353" spans="6:6" x14ac:dyDescent="0.25">
      <c r="F353" t="str">
        <f t="shared" si="5"/>
        <v/>
      </c>
    </row>
    <row r="354" spans="6:6" x14ac:dyDescent="0.25">
      <c r="F354" t="str">
        <f t="shared" si="5"/>
        <v/>
      </c>
    </row>
    <row r="355" spans="6:6" x14ac:dyDescent="0.25">
      <c r="F355" t="str">
        <f t="shared" si="5"/>
        <v/>
      </c>
    </row>
    <row r="356" spans="6:6" x14ac:dyDescent="0.25">
      <c r="F356" t="str">
        <f t="shared" si="5"/>
        <v/>
      </c>
    </row>
    <row r="357" spans="6:6" x14ac:dyDescent="0.25">
      <c r="F357" t="str">
        <f t="shared" si="5"/>
        <v/>
      </c>
    </row>
    <row r="358" spans="6:6" x14ac:dyDescent="0.25">
      <c r="F358" t="str">
        <f t="shared" si="5"/>
        <v/>
      </c>
    </row>
    <row r="359" spans="6:6" x14ac:dyDescent="0.25">
      <c r="F359" t="str">
        <f t="shared" si="5"/>
        <v/>
      </c>
    </row>
    <row r="360" spans="6:6" x14ac:dyDescent="0.25">
      <c r="F360" t="str">
        <f t="shared" si="5"/>
        <v/>
      </c>
    </row>
    <row r="361" spans="6:6" x14ac:dyDescent="0.25">
      <c r="F361" t="str">
        <f t="shared" si="5"/>
        <v/>
      </c>
    </row>
    <row r="362" spans="6:6" x14ac:dyDescent="0.25">
      <c r="F362" t="str">
        <f t="shared" si="5"/>
        <v/>
      </c>
    </row>
    <row r="363" spans="6:6" x14ac:dyDescent="0.25">
      <c r="F363" t="str">
        <f t="shared" si="5"/>
        <v/>
      </c>
    </row>
    <row r="364" spans="6:6" x14ac:dyDescent="0.25">
      <c r="F364" t="str">
        <f t="shared" si="5"/>
        <v/>
      </c>
    </row>
    <row r="365" spans="6:6" x14ac:dyDescent="0.25">
      <c r="F365" t="str">
        <f t="shared" si="5"/>
        <v/>
      </c>
    </row>
    <row r="366" spans="6:6" x14ac:dyDescent="0.25">
      <c r="F366" t="str">
        <f t="shared" si="5"/>
        <v/>
      </c>
    </row>
    <row r="367" spans="6:6" x14ac:dyDescent="0.25">
      <c r="F367" t="str">
        <f t="shared" si="5"/>
        <v/>
      </c>
    </row>
    <row r="368" spans="6:6" x14ac:dyDescent="0.25">
      <c r="F368" t="str">
        <f t="shared" si="5"/>
        <v/>
      </c>
    </row>
    <row r="369" spans="6:6" x14ac:dyDescent="0.25">
      <c r="F369" t="str">
        <f t="shared" si="5"/>
        <v/>
      </c>
    </row>
    <row r="370" spans="6:6" x14ac:dyDescent="0.25">
      <c r="F370" t="str">
        <f t="shared" si="5"/>
        <v/>
      </c>
    </row>
    <row r="371" spans="6:6" x14ac:dyDescent="0.25">
      <c r="F371" t="str">
        <f t="shared" si="5"/>
        <v/>
      </c>
    </row>
    <row r="372" spans="6:6" x14ac:dyDescent="0.25">
      <c r="F372" t="str">
        <f t="shared" si="5"/>
        <v/>
      </c>
    </row>
    <row r="373" spans="6:6" x14ac:dyDescent="0.25">
      <c r="F373" t="str">
        <f t="shared" si="5"/>
        <v/>
      </c>
    </row>
    <row r="374" spans="6:6" x14ac:dyDescent="0.25">
      <c r="F374" t="str">
        <f t="shared" si="5"/>
        <v/>
      </c>
    </row>
    <row r="375" spans="6:6" x14ac:dyDescent="0.25">
      <c r="F375" t="str">
        <f t="shared" si="5"/>
        <v/>
      </c>
    </row>
    <row r="376" spans="6:6" x14ac:dyDescent="0.25">
      <c r="F376" t="str">
        <f t="shared" si="5"/>
        <v/>
      </c>
    </row>
    <row r="377" spans="6:6" x14ac:dyDescent="0.25">
      <c r="F377" t="str">
        <f t="shared" si="5"/>
        <v/>
      </c>
    </row>
    <row r="378" spans="6:6" x14ac:dyDescent="0.25">
      <c r="F378" t="str">
        <f t="shared" si="5"/>
        <v/>
      </c>
    </row>
    <row r="379" spans="6:6" x14ac:dyDescent="0.25">
      <c r="F379" t="str">
        <f t="shared" si="5"/>
        <v/>
      </c>
    </row>
    <row r="380" spans="6:6" x14ac:dyDescent="0.25">
      <c r="F380" t="str">
        <f t="shared" si="5"/>
        <v/>
      </c>
    </row>
    <row r="381" spans="6:6" x14ac:dyDescent="0.25">
      <c r="F381" t="str">
        <f t="shared" si="5"/>
        <v/>
      </c>
    </row>
    <row r="382" spans="6:6" x14ac:dyDescent="0.25">
      <c r="F382" t="str">
        <f t="shared" si="5"/>
        <v/>
      </c>
    </row>
    <row r="383" spans="6:6" x14ac:dyDescent="0.25">
      <c r="F383" t="str">
        <f t="shared" si="5"/>
        <v/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D36"/>
  <sheetViews>
    <sheetView workbookViewId="0"/>
  </sheetViews>
  <sheetFormatPr defaultRowHeight="12.75" x14ac:dyDescent="0.25"/>
  <sheetData>
    <row r="2" spans="1:4" x14ac:dyDescent="0.25">
      <c r="C2" t="s">
        <v>48</v>
      </c>
      <c r="D2" t="s">
        <v>49</v>
      </c>
    </row>
    <row r="3" spans="1:4" x14ac:dyDescent="0.25">
      <c r="A3" s="36" t="s">
        <v>50</v>
      </c>
      <c r="B3" s="36" t="s">
        <v>51</v>
      </c>
      <c r="C3" s="45">
        <f>COUNTA($A:$A)-2</f>
        <v>32</v>
      </c>
      <c r="D3" s="45">
        <f>COUNTA($B:$B)-2</f>
        <v>15</v>
      </c>
    </row>
    <row r="4" spans="1:4" ht="14.25" x14ac:dyDescent="0.25">
      <c r="A4" s="37" t="s">
        <v>52</v>
      </c>
      <c r="B4" t="s">
        <v>53</v>
      </c>
    </row>
    <row r="5" spans="1:4" ht="14.25" x14ac:dyDescent="0.25">
      <c r="A5" s="38" t="s">
        <v>46</v>
      </c>
      <c r="B5" t="s">
        <v>54</v>
      </c>
    </row>
    <row r="6" spans="1:4" ht="14.25" x14ac:dyDescent="0.25">
      <c r="A6" s="38" t="s">
        <v>45</v>
      </c>
      <c r="B6" t="s">
        <v>55</v>
      </c>
    </row>
    <row r="7" spans="1:4" ht="14.25" x14ac:dyDescent="0.25">
      <c r="A7" s="38" t="s">
        <v>9</v>
      </c>
      <c r="B7" t="s">
        <v>56</v>
      </c>
    </row>
    <row r="8" spans="1:4" ht="14.25" x14ac:dyDescent="0.25">
      <c r="A8" s="38" t="s">
        <v>10</v>
      </c>
      <c r="B8" t="s">
        <v>57</v>
      </c>
    </row>
    <row r="9" spans="1:4" ht="14.25" x14ac:dyDescent="0.25">
      <c r="A9" s="38" t="s">
        <v>11</v>
      </c>
      <c r="B9" t="s">
        <v>58</v>
      </c>
    </row>
    <row r="10" spans="1:4" ht="14.25" x14ac:dyDescent="0.25">
      <c r="A10" s="38" t="s">
        <v>12</v>
      </c>
      <c r="B10" t="s">
        <v>59</v>
      </c>
    </row>
    <row r="11" spans="1:4" ht="14.25" x14ac:dyDescent="0.25">
      <c r="A11" s="38" t="s">
        <v>13</v>
      </c>
      <c r="B11" t="s">
        <v>60</v>
      </c>
    </row>
    <row r="12" spans="1:4" ht="14.25" x14ac:dyDescent="0.25">
      <c r="A12" s="38" t="s">
        <v>14</v>
      </c>
      <c r="B12" t="s">
        <v>61</v>
      </c>
    </row>
    <row r="13" spans="1:4" ht="14.25" x14ac:dyDescent="0.25">
      <c r="A13" s="38" t="s">
        <v>15</v>
      </c>
      <c r="B13" t="s">
        <v>62</v>
      </c>
    </row>
    <row r="14" spans="1:4" ht="14.25" x14ac:dyDescent="0.25">
      <c r="A14" s="38" t="s">
        <v>16</v>
      </c>
      <c r="B14" t="s">
        <v>63</v>
      </c>
    </row>
    <row r="15" spans="1:4" ht="14.25" x14ac:dyDescent="0.25">
      <c r="A15" s="38" t="s">
        <v>17</v>
      </c>
      <c r="B15" t="s">
        <v>64</v>
      </c>
    </row>
    <row r="16" spans="1:4" ht="14.25" x14ac:dyDescent="0.25">
      <c r="A16" s="38" t="s">
        <v>18</v>
      </c>
      <c r="B16" t="s">
        <v>65</v>
      </c>
    </row>
    <row r="17" spans="1:2" ht="14.25" x14ac:dyDescent="0.25">
      <c r="A17" s="38" t="s">
        <v>19</v>
      </c>
      <c r="B17" t="s">
        <v>66</v>
      </c>
    </row>
    <row r="18" spans="1:2" ht="14.25" x14ac:dyDescent="0.25">
      <c r="A18" s="38" t="s">
        <v>20</v>
      </c>
      <c r="B18" t="s">
        <v>39</v>
      </c>
    </row>
    <row r="19" spans="1:2" ht="14.25" x14ac:dyDescent="0.25">
      <c r="A19" s="38" t="s">
        <v>21</v>
      </c>
      <c r="B19" t="s">
        <v>67</v>
      </c>
    </row>
    <row r="20" spans="1:2" ht="14.25" x14ac:dyDescent="0.25">
      <c r="A20" s="38" t="s">
        <v>22</v>
      </c>
    </row>
    <row r="21" spans="1:2" ht="14.25" x14ac:dyDescent="0.25">
      <c r="A21" s="38" t="s">
        <v>23</v>
      </c>
    </row>
    <row r="22" spans="1:2" ht="14.25" x14ac:dyDescent="0.25">
      <c r="A22" s="38" t="s">
        <v>24</v>
      </c>
    </row>
    <row r="23" spans="1:2" ht="14.25" x14ac:dyDescent="0.25">
      <c r="A23" s="38" t="s">
        <v>25</v>
      </c>
    </row>
    <row r="24" spans="1:2" ht="14.25" x14ac:dyDescent="0.25">
      <c r="A24" s="38" t="s">
        <v>26</v>
      </c>
    </row>
    <row r="25" spans="1:2" ht="14.25" x14ac:dyDescent="0.25">
      <c r="A25" s="38" t="s">
        <v>27</v>
      </c>
    </row>
    <row r="26" spans="1:2" ht="14.25" x14ac:dyDescent="0.25">
      <c r="A26" s="38" t="s">
        <v>28</v>
      </c>
    </row>
    <row r="27" spans="1:2" ht="14.25" x14ac:dyDescent="0.25">
      <c r="A27" s="38" t="s">
        <v>29</v>
      </c>
    </row>
    <row r="28" spans="1:2" ht="14.25" x14ac:dyDescent="0.25">
      <c r="A28" s="38" t="s">
        <v>30</v>
      </c>
    </row>
    <row r="29" spans="1:2" ht="14.25" x14ac:dyDescent="0.25">
      <c r="A29" s="38" t="s">
        <v>31</v>
      </c>
    </row>
    <row r="30" spans="1:2" ht="14.25" x14ac:dyDescent="0.25">
      <c r="A30" s="38" t="s">
        <v>32</v>
      </c>
    </row>
    <row r="31" spans="1:2" ht="14.25" x14ac:dyDescent="0.25">
      <c r="A31" s="38" t="s">
        <v>33</v>
      </c>
    </row>
    <row r="32" spans="1:2" ht="14.25" x14ac:dyDescent="0.25">
      <c r="A32" s="38" t="s">
        <v>34</v>
      </c>
    </row>
    <row r="33" spans="1:1" ht="14.25" x14ac:dyDescent="0.25">
      <c r="A33" s="38" t="s">
        <v>35</v>
      </c>
    </row>
    <row r="34" spans="1:1" ht="14.25" x14ac:dyDescent="0.25">
      <c r="A34" s="38" t="s">
        <v>36</v>
      </c>
    </row>
    <row r="35" spans="1:1" ht="14.25" x14ac:dyDescent="0.25">
      <c r="A35" s="38" t="s">
        <v>37</v>
      </c>
    </row>
    <row r="36" spans="1:1" ht="14.25" x14ac:dyDescent="0.25">
      <c r="A36" s="38" t="s">
        <v>38</v>
      </c>
    </row>
  </sheetData>
  <phoneticPr fontId="20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25"/>
  <sheetViews>
    <sheetView workbookViewId="0"/>
  </sheetViews>
  <sheetFormatPr defaultRowHeight="12.75" x14ac:dyDescent="0.25"/>
  <sheetData>
    <row r="1" spans="1:9" x14ac:dyDescent="0.25">
      <c r="A1" s="36" t="s">
        <v>44</v>
      </c>
      <c r="B1" s="40" t="s">
        <v>40</v>
      </c>
      <c r="C1" s="40" t="s">
        <v>41</v>
      </c>
      <c r="D1" s="40" t="s">
        <v>42</v>
      </c>
      <c r="E1" t="s">
        <v>43</v>
      </c>
      <c r="G1" s="47" t="s">
        <v>47</v>
      </c>
      <c r="H1" s="47"/>
      <c r="I1" s="47"/>
    </row>
    <row r="2" spans="1:9" x14ac:dyDescent="0.25">
      <c r="A2" s="39"/>
      <c r="B2" s="41"/>
      <c r="C2" s="41"/>
      <c r="D2" s="41"/>
      <c r="G2">
        <v>0</v>
      </c>
      <c r="H2">
        <v>0</v>
      </c>
      <c r="I2">
        <v>0</v>
      </c>
    </row>
    <row r="3" spans="1:9" x14ac:dyDescent="0.25">
      <c r="A3" s="39"/>
      <c r="B3" s="41"/>
      <c r="C3" s="41"/>
      <c r="D3" s="41"/>
    </row>
    <row r="4" spans="1:9" x14ac:dyDescent="0.25">
      <c r="A4" s="39"/>
      <c r="B4" s="41"/>
      <c r="C4" s="41"/>
      <c r="D4" s="41"/>
    </row>
    <row r="5" spans="1:9" x14ac:dyDescent="0.25">
      <c r="A5" s="39"/>
      <c r="B5" s="41"/>
      <c r="C5" s="41"/>
      <c r="D5" s="41"/>
    </row>
    <row r="6" spans="1:9" x14ac:dyDescent="0.25">
      <c r="A6" s="39"/>
      <c r="B6" s="41"/>
      <c r="C6" s="41"/>
      <c r="D6" s="41"/>
    </row>
    <row r="7" spans="1:9" x14ac:dyDescent="0.25">
      <c r="A7" s="39"/>
      <c r="B7" s="41"/>
      <c r="C7" s="41"/>
      <c r="D7" s="41"/>
    </row>
    <row r="8" spans="1:9" x14ac:dyDescent="0.25">
      <c r="A8" s="39"/>
      <c r="B8" s="41"/>
      <c r="C8" s="41"/>
      <c r="D8" s="41"/>
    </row>
    <row r="9" spans="1:9" x14ac:dyDescent="0.25">
      <c r="A9" s="39"/>
      <c r="B9" s="41"/>
      <c r="C9" s="41"/>
      <c r="D9" s="41"/>
    </row>
    <row r="10" spans="1:9" x14ac:dyDescent="0.25">
      <c r="A10" s="39"/>
      <c r="B10" s="41"/>
      <c r="C10" s="41"/>
      <c r="D10" s="41"/>
    </row>
    <row r="11" spans="1:9" x14ac:dyDescent="0.25">
      <c r="A11" s="39"/>
      <c r="B11" s="41"/>
      <c r="C11" s="41"/>
      <c r="D11" s="41"/>
    </row>
    <row r="12" spans="1:9" x14ac:dyDescent="0.25">
      <c r="A12" s="39"/>
      <c r="B12" s="41"/>
      <c r="C12" s="41"/>
      <c r="D12" s="41"/>
    </row>
    <row r="13" spans="1:9" x14ac:dyDescent="0.25">
      <c r="A13" s="39"/>
      <c r="B13" s="41"/>
      <c r="C13" s="41"/>
      <c r="D13" s="41"/>
    </row>
    <row r="14" spans="1:9" x14ac:dyDescent="0.25">
      <c r="A14" s="39"/>
      <c r="B14" s="41"/>
      <c r="C14" s="41"/>
      <c r="D14" s="41"/>
    </row>
    <row r="15" spans="1:9" x14ac:dyDescent="0.25">
      <c r="A15" s="39"/>
      <c r="B15" s="41"/>
      <c r="C15" s="41"/>
      <c r="D15" s="41"/>
    </row>
    <row r="16" spans="1:9" x14ac:dyDescent="0.25">
      <c r="A16" s="39"/>
      <c r="B16" s="41"/>
      <c r="C16" s="41"/>
      <c r="D16" s="41"/>
    </row>
    <row r="17" spans="1:4" x14ac:dyDescent="0.25">
      <c r="A17" s="39"/>
      <c r="B17" s="41"/>
      <c r="C17" s="41"/>
      <c r="D17" s="41"/>
    </row>
    <row r="18" spans="1:4" x14ac:dyDescent="0.25">
      <c r="A18" s="39"/>
      <c r="B18" s="41"/>
      <c r="C18" s="41"/>
      <c r="D18" s="41"/>
    </row>
    <row r="19" spans="1:4" x14ac:dyDescent="0.25">
      <c r="A19" s="39"/>
      <c r="B19" s="41"/>
      <c r="C19" s="41"/>
      <c r="D19" s="41"/>
    </row>
    <row r="20" spans="1:4" x14ac:dyDescent="0.25">
      <c r="A20" s="39"/>
      <c r="B20" s="41"/>
      <c r="C20" s="41"/>
      <c r="D20" s="41"/>
    </row>
    <row r="21" spans="1:4" x14ac:dyDescent="0.25">
      <c r="A21" s="39"/>
      <c r="B21" s="41"/>
      <c r="C21" s="41"/>
      <c r="D21" s="41"/>
    </row>
    <row r="22" spans="1:4" x14ac:dyDescent="0.25">
      <c r="A22" s="39"/>
      <c r="B22" s="41"/>
      <c r="C22" s="41"/>
      <c r="D22" s="41"/>
    </row>
    <row r="23" spans="1:4" x14ac:dyDescent="0.25">
      <c r="A23" s="39"/>
      <c r="B23" s="41"/>
      <c r="C23" s="41"/>
      <c r="D23" s="41"/>
    </row>
    <row r="24" spans="1:4" x14ac:dyDescent="0.25">
      <c r="A24" s="39"/>
      <c r="B24" s="41"/>
      <c r="C24" s="41"/>
      <c r="D24" s="41"/>
    </row>
    <row r="25" spans="1:4" x14ac:dyDescent="0.25">
      <c r="A25" s="39"/>
      <c r="B25" s="41"/>
      <c r="C25" s="41"/>
      <c r="D25" s="41"/>
    </row>
  </sheetData>
  <phoneticPr fontId="2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8"/>
  <sheetViews>
    <sheetView showGridLines="0" showRowColHeaders="0" zoomScale="190" zoomScaleNormal="190" workbookViewId="0">
      <selection activeCell="B8" sqref="B8"/>
    </sheetView>
  </sheetViews>
  <sheetFormatPr defaultRowHeight="12.75" x14ac:dyDescent="0.25"/>
  <cols>
    <col min="1" max="1" width="4.3984375" customWidth="1"/>
    <col min="2" max="7" width="10.46484375" customWidth="1"/>
  </cols>
  <sheetData>
    <row r="1" spans="1:7" ht="11.25" customHeight="1" x14ac:dyDescent="0.25"/>
    <row r="2" spans="1:7" ht="11.25" customHeight="1" x14ac:dyDescent="0.25">
      <c r="C2" s="53"/>
    </row>
    <row r="3" spans="1:7" ht="11.25" customHeight="1" thickBot="1" x14ac:dyDescent="0.3"/>
    <row r="4" spans="1:7" ht="34.5" customHeight="1" thickTop="1" thickBot="1" x14ac:dyDescent="0.3">
      <c r="A4" s="48"/>
      <c r="B4" s="60" t="s">
        <v>73</v>
      </c>
      <c r="C4" s="55" t="s">
        <v>75</v>
      </c>
      <c r="D4" s="55" t="s">
        <v>73</v>
      </c>
      <c r="E4" s="54"/>
      <c r="F4" s="60"/>
      <c r="G4" s="55"/>
    </row>
    <row r="5" spans="1:7" ht="34.5" customHeight="1" thickTop="1" thickBot="1" x14ac:dyDescent="0.3">
      <c r="B5" s="60" t="s">
        <v>75</v>
      </c>
      <c r="C5" s="55" t="s">
        <v>75</v>
      </c>
      <c r="D5" s="55" t="s">
        <v>73</v>
      </c>
      <c r="E5" s="54"/>
      <c r="F5" s="60"/>
      <c r="G5" s="55"/>
    </row>
    <row r="6" spans="1:7" ht="34.5" customHeight="1" thickTop="1" thickBot="1" x14ac:dyDescent="0.3">
      <c r="B6" s="61" t="s">
        <v>73</v>
      </c>
      <c r="C6" s="59"/>
      <c r="D6" s="59" t="s">
        <v>75</v>
      </c>
      <c r="E6" s="58"/>
      <c r="F6" s="61"/>
      <c r="G6" s="59"/>
    </row>
    <row r="7" spans="1:7" ht="34.5" customHeight="1" thickTop="1" thickBot="1" x14ac:dyDescent="0.3">
      <c r="B7" s="62"/>
      <c r="C7" s="57"/>
      <c r="D7" s="57"/>
      <c r="E7" s="56"/>
      <c r="F7" s="62"/>
      <c r="G7" s="57"/>
    </row>
    <row r="8" spans="1:7" ht="34.5" customHeight="1" thickTop="1" thickBot="1" x14ac:dyDescent="0.3">
      <c r="B8" s="60"/>
      <c r="C8" s="55"/>
      <c r="D8" s="55"/>
      <c r="E8" s="54"/>
      <c r="F8" s="60"/>
      <c r="G8" s="55"/>
    </row>
    <row r="9" spans="1:7" ht="34.5" customHeight="1" thickTop="1" thickBot="1" x14ac:dyDescent="0.3">
      <c r="B9" s="61"/>
      <c r="C9" s="59"/>
      <c r="D9" s="59"/>
      <c r="E9" s="58"/>
      <c r="F9" s="61"/>
      <c r="G9" s="59"/>
    </row>
    <row r="10" spans="1:7" ht="32.25" customHeight="1" thickTop="1" x14ac:dyDescent="0.25">
      <c r="A10" s="50"/>
      <c r="B10" s="50"/>
      <c r="C10" s="50"/>
      <c r="D10" s="50"/>
      <c r="E10" s="50"/>
      <c r="F10" s="50"/>
      <c r="G10" s="50"/>
    </row>
    <row r="11" spans="1:7" ht="4.5" customHeight="1" x14ac:dyDescent="0.25">
      <c r="A11" s="51"/>
      <c r="B11" s="51"/>
      <c r="C11" s="51"/>
      <c r="D11" s="51"/>
      <c r="E11" s="51"/>
      <c r="F11" s="51"/>
      <c r="G11" s="51"/>
    </row>
    <row r="12" spans="1:7" ht="4.5" customHeight="1" x14ac:dyDescent="0.25">
      <c r="A12" s="52"/>
      <c r="B12" s="63"/>
      <c r="C12" s="63"/>
      <c r="D12" s="63"/>
      <c r="E12" s="63"/>
      <c r="F12" s="63"/>
      <c r="G12" s="63"/>
    </row>
    <row r="13" spans="1:7" ht="18.75" customHeight="1" thickBot="1" x14ac:dyDescent="0.3">
      <c r="A13" s="52" t="s">
        <v>71</v>
      </c>
      <c r="B13" s="64"/>
      <c r="C13" s="64"/>
      <c r="D13" s="64"/>
      <c r="E13" s="64"/>
      <c r="F13" s="64"/>
      <c r="G13" s="64"/>
    </row>
    <row r="14" spans="1:7" ht="27.75" customHeight="1" thickTop="1" thickBot="1" x14ac:dyDescent="0.3">
      <c r="A14" s="63"/>
      <c r="B14" s="65" t="s">
        <v>70</v>
      </c>
      <c r="C14" s="65" t="s">
        <v>103</v>
      </c>
      <c r="D14" s="65" t="s">
        <v>70</v>
      </c>
      <c r="E14" s="65" t="s">
        <v>102</v>
      </c>
      <c r="F14" s="65" t="s">
        <v>70</v>
      </c>
      <c r="G14" s="65" t="s">
        <v>103</v>
      </c>
    </row>
    <row r="15" spans="1:7" ht="27.75" customHeight="1" thickTop="1" thickBot="1" x14ac:dyDescent="0.3">
      <c r="A15" s="63"/>
      <c r="B15" s="65" t="s">
        <v>70</v>
      </c>
      <c r="C15" s="65" t="s">
        <v>70</v>
      </c>
      <c r="D15" s="65" t="s">
        <v>70</v>
      </c>
      <c r="E15" s="65" t="s">
        <v>70</v>
      </c>
      <c r="F15" s="65" t="s">
        <v>70</v>
      </c>
      <c r="G15" s="65" t="s">
        <v>70</v>
      </c>
    </row>
    <row r="16" spans="1:7" ht="27.75" customHeight="1" thickTop="1" thickBot="1" x14ac:dyDescent="0.3">
      <c r="A16" s="63"/>
      <c r="B16" s="65" t="s">
        <v>70</v>
      </c>
      <c r="C16" s="65" t="s">
        <v>70</v>
      </c>
      <c r="D16" s="65" t="s">
        <v>70</v>
      </c>
      <c r="E16" s="65" t="s">
        <v>70</v>
      </c>
      <c r="F16" s="65" t="s">
        <v>70</v>
      </c>
      <c r="G16" s="65" t="s">
        <v>70</v>
      </c>
    </row>
    <row r="17" spans="1:7" ht="27.75" customHeight="1" thickTop="1" thickBot="1" x14ac:dyDescent="0.3">
      <c r="A17" s="63"/>
      <c r="B17" s="65" t="s">
        <v>70</v>
      </c>
      <c r="C17" s="65" t="s">
        <v>70</v>
      </c>
      <c r="D17" s="65" t="s">
        <v>70</v>
      </c>
      <c r="E17" s="65" t="s">
        <v>102</v>
      </c>
      <c r="F17" s="65" t="s">
        <v>70</v>
      </c>
      <c r="G17" s="65" t="s">
        <v>70</v>
      </c>
    </row>
    <row r="18" spans="1:7" ht="27.75" customHeight="1" thickTop="1" thickBot="1" x14ac:dyDescent="0.3">
      <c r="A18" s="63"/>
      <c r="B18" s="65" t="s">
        <v>70</v>
      </c>
      <c r="C18" s="65" t="s">
        <v>70</v>
      </c>
      <c r="D18" s="65" t="s">
        <v>70</v>
      </c>
      <c r="E18" s="65" t="s">
        <v>102</v>
      </c>
      <c r="F18" s="65" t="s">
        <v>70</v>
      </c>
      <c r="G18" s="65" t="s">
        <v>70</v>
      </c>
    </row>
    <row r="19" spans="1:7" ht="27.75" customHeight="1" thickTop="1" thickBot="1" x14ac:dyDescent="0.3">
      <c r="A19" s="49"/>
      <c r="B19" s="65" t="s">
        <v>70</v>
      </c>
      <c r="C19" s="65" t="s">
        <v>70</v>
      </c>
      <c r="D19" s="65" t="s">
        <v>70</v>
      </c>
      <c r="E19" s="65" t="s">
        <v>102</v>
      </c>
      <c r="F19" s="65" t="s">
        <v>70</v>
      </c>
      <c r="G19" s="65" t="s">
        <v>70</v>
      </c>
    </row>
    <row r="20" spans="1:7" ht="13.15" thickTop="1" x14ac:dyDescent="0.25">
      <c r="A20" s="49"/>
    </row>
    <row r="21" spans="1:7" x14ac:dyDescent="0.25">
      <c r="A21" s="49"/>
    </row>
    <row r="22" spans="1:7" x14ac:dyDescent="0.25">
      <c r="A22" s="49"/>
    </row>
    <row r="23" spans="1:7" x14ac:dyDescent="0.25">
      <c r="A23" s="49"/>
    </row>
    <row r="27" spans="1:7" x14ac:dyDescent="0.25">
      <c r="A27" s="39"/>
    </row>
    <row r="28" spans="1:7" x14ac:dyDescent="0.25">
      <c r="A28" s="39"/>
    </row>
  </sheetData>
  <phoneticPr fontId="20"/>
  <conditionalFormatting sqref="B4:G19">
    <cfRule type="cellIs" dxfId="83" priority="22" stopIfTrue="1" operator="equal">
      <formula>"欠"</formula>
    </cfRule>
  </conditionalFormatting>
  <conditionalFormatting sqref="B4:G9">
    <cfRule type="cellIs" dxfId="82" priority="1" stopIfTrue="1" operator="notBetween">
      <formula>"A"</formula>
      <formula>"R"</formula>
    </cfRule>
    <cfRule type="cellIs" dxfId="81" priority="2" stopIfTrue="1" operator="equal">
      <formula>"R"</formula>
    </cfRule>
    <cfRule type="cellIs" dxfId="80" priority="3" stopIfTrue="1" operator="equal">
      <formula>"Q"</formula>
    </cfRule>
    <cfRule type="cellIs" dxfId="79" priority="4" stopIfTrue="1" operator="equal">
      <formula>"P"</formula>
    </cfRule>
    <cfRule type="cellIs" dxfId="78" priority="5" stopIfTrue="1" operator="equal">
      <formula>"O"</formula>
    </cfRule>
    <cfRule type="cellIs" dxfId="77" priority="6" stopIfTrue="1" operator="equal">
      <formula>"N"</formula>
    </cfRule>
    <cfRule type="cellIs" dxfId="76" priority="7" stopIfTrue="1" operator="equal">
      <formula>"M"</formula>
    </cfRule>
    <cfRule type="cellIs" dxfId="75" priority="8" stopIfTrue="1" operator="equal">
      <formula>"L"</formula>
    </cfRule>
    <cfRule type="cellIs" dxfId="74" priority="9" stopIfTrue="1" operator="equal">
      <formula>"K"</formula>
    </cfRule>
    <cfRule type="cellIs" dxfId="73" priority="10" stopIfTrue="1" operator="equal">
      <formula>"J"</formula>
    </cfRule>
    <cfRule type="cellIs" dxfId="72" priority="11" stopIfTrue="1" operator="equal">
      <formula>"I"</formula>
    </cfRule>
    <cfRule type="cellIs" dxfId="71" priority="12" stopIfTrue="1" operator="equal">
      <formula>"H"</formula>
    </cfRule>
    <cfRule type="cellIs" dxfId="70" priority="13" stopIfTrue="1" operator="equal">
      <formula>"G"</formula>
    </cfRule>
    <cfRule type="cellIs" dxfId="69" priority="14" stopIfTrue="1" operator="equal">
      <formula>"F"</formula>
    </cfRule>
    <cfRule type="cellIs" dxfId="68" priority="15" stopIfTrue="1" operator="equal">
      <formula>"E"</formula>
    </cfRule>
    <cfRule type="cellIs" dxfId="67" priority="16" stopIfTrue="1" operator="equal">
      <formula>"D"</formula>
    </cfRule>
    <cfRule type="cellIs" dxfId="66" priority="17" stopIfTrue="1" operator="equal">
      <formula>"C"</formula>
    </cfRule>
    <cfRule type="cellIs" dxfId="65" priority="18" stopIfTrue="1" operator="equal">
      <formula>"B"</formula>
    </cfRule>
    <cfRule type="cellIs" dxfId="64" priority="19" stopIfTrue="1" operator="equal">
      <formula>"A"</formula>
    </cfRule>
    <cfRule type="cellIs" dxfId="63" priority="20" stopIfTrue="1" operator="equal">
      <formula>" "</formula>
    </cfRule>
  </conditionalFormatting>
  <dataValidations count="1">
    <dataValidation type="list" allowBlank="1" showInputMessage="1" showErrorMessage="1" sqref="B13:G19" xr:uid="{00000000-0002-0000-0400-000000000000}">
      <formula1>"出,欠"</formula1>
    </dataValidation>
  </dataValidations>
  <pageMargins left="0.7" right="0.7" top="0.75" bottom="0.75" header="0.3" footer="0.3"/>
  <pageSetup paperSize="8" orientation="landscape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5610" r:id="rId4" name="CommandButton1">
          <controlPr defaultSize="0" autoLine="0" r:id="rId5">
            <anchor moveWithCells="1">
              <from>
                <xdr:col>7</xdr:col>
                <xdr:colOff>233363</xdr:colOff>
                <xdr:row>1</xdr:row>
                <xdr:rowOff>19050</xdr:rowOff>
              </from>
              <to>
                <xdr:col>8</xdr:col>
                <xdr:colOff>395288</xdr:colOff>
                <xdr:row>3</xdr:row>
                <xdr:rowOff>76200</xdr:rowOff>
              </to>
            </anchor>
          </controlPr>
        </control>
      </mc:Choice>
      <mc:Fallback>
        <control shapeId="25610" r:id="rId4" name="CommandButton1"/>
      </mc:Fallback>
    </mc:AlternateContent>
    <mc:AlternateContent xmlns:mc="http://schemas.openxmlformats.org/markup-compatibility/2006">
      <mc:Choice Requires="x14">
        <control shapeId="25615" r:id="rId6" name="CommandButton2">
          <controlPr defaultSize="0" autoLine="0" r:id="rId7">
            <anchor moveWithCells="1">
              <from>
                <xdr:col>7</xdr:col>
                <xdr:colOff>233363</xdr:colOff>
                <xdr:row>3</xdr:row>
                <xdr:rowOff>133350</xdr:rowOff>
              </from>
              <to>
                <xdr:col>8</xdr:col>
                <xdr:colOff>395288</xdr:colOff>
                <xdr:row>4</xdr:row>
                <xdr:rowOff>38100</xdr:rowOff>
              </to>
            </anchor>
          </controlPr>
        </control>
      </mc:Choice>
      <mc:Fallback>
        <control shapeId="25615" r:id="rId6" name="CommandButton2"/>
      </mc:Fallback>
    </mc:AlternateContent>
    <mc:AlternateContent xmlns:mc="http://schemas.openxmlformats.org/markup-compatibility/2006">
      <mc:Choice Requires="x14">
        <control shapeId="25616" r:id="rId8" name="CommandButton3">
          <controlPr defaultSize="0" autoLine="0" r:id="rId9">
            <anchor moveWithCells="1">
              <from>
                <xdr:col>7</xdr:col>
                <xdr:colOff>233363</xdr:colOff>
                <xdr:row>4</xdr:row>
                <xdr:rowOff>104775</xdr:rowOff>
              </from>
              <to>
                <xdr:col>8</xdr:col>
                <xdr:colOff>395288</xdr:colOff>
                <xdr:row>5</xdr:row>
                <xdr:rowOff>9525</xdr:rowOff>
              </to>
            </anchor>
          </controlPr>
        </control>
      </mc:Choice>
      <mc:Fallback>
        <control shapeId="25616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G28"/>
  <sheetViews>
    <sheetView showGridLines="0" showRowColHeaders="0" tabSelected="1" zoomScale="190" zoomScaleNormal="190" workbookViewId="0">
      <selection activeCell="B10" sqref="B10"/>
    </sheetView>
  </sheetViews>
  <sheetFormatPr defaultRowHeight="12.75" x14ac:dyDescent="0.25"/>
  <cols>
    <col min="1" max="1" width="4.3984375" customWidth="1"/>
    <col min="2" max="7" width="10.46484375" customWidth="1"/>
  </cols>
  <sheetData>
    <row r="1" spans="1:7" ht="11.25" customHeight="1" x14ac:dyDescent="0.25"/>
    <row r="2" spans="1:7" ht="11.25" customHeight="1" x14ac:dyDescent="0.25">
      <c r="C2" s="53"/>
    </row>
    <row r="3" spans="1:7" ht="11.25" customHeight="1" thickBot="1" x14ac:dyDescent="0.3"/>
    <row r="4" spans="1:7" ht="34.5" customHeight="1" thickTop="1" thickBot="1" x14ac:dyDescent="0.3">
      <c r="A4" s="48"/>
      <c r="B4" s="60" t="s">
        <v>72</v>
      </c>
      <c r="C4" s="55" t="s">
        <v>73</v>
      </c>
      <c r="D4" s="55" t="s">
        <v>96</v>
      </c>
      <c r="E4" s="54" t="s">
        <v>75</v>
      </c>
      <c r="F4" s="60" t="s">
        <v>105</v>
      </c>
      <c r="G4" s="55" t="s">
        <v>76</v>
      </c>
    </row>
    <row r="5" spans="1:7" ht="34.5" customHeight="1" thickTop="1" thickBot="1" x14ac:dyDescent="0.3">
      <c r="B5" s="60" t="s">
        <v>96</v>
      </c>
      <c r="C5" s="55" t="s">
        <v>99</v>
      </c>
      <c r="D5" s="55" t="s">
        <v>98</v>
      </c>
      <c r="E5" s="54" t="s">
        <v>98</v>
      </c>
      <c r="F5" s="60" t="s">
        <v>108</v>
      </c>
      <c r="G5" s="55" t="s">
        <v>75</v>
      </c>
    </row>
    <row r="6" spans="1:7" ht="34.5" customHeight="1" thickTop="1" thickBot="1" x14ac:dyDescent="0.3">
      <c r="B6" s="61" t="s">
        <v>100</v>
      </c>
      <c r="C6" s="59" t="s">
        <v>97</v>
      </c>
      <c r="D6" s="59" t="s">
        <v>100</v>
      </c>
      <c r="E6" s="58" t="s">
        <v>74</v>
      </c>
      <c r="F6" s="61" t="s">
        <v>104</v>
      </c>
      <c r="G6" s="59" t="s">
        <v>95</v>
      </c>
    </row>
    <row r="7" spans="1:7" ht="34.5" customHeight="1" thickTop="1" thickBot="1" x14ac:dyDescent="0.3">
      <c r="B7" s="62" t="s">
        <v>106</v>
      </c>
      <c r="C7" s="57" t="s">
        <v>99</v>
      </c>
      <c r="D7" s="57" t="s">
        <v>104</v>
      </c>
      <c r="E7" s="56" t="s">
        <v>108</v>
      </c>
      <c r="F7" s="62" t="s">
        <v>101</v>
      </c>
      <c r="G7" s="57" t="s">
        <v>97</v>
      </c>
    </row>
    <row r="8" spans="1:7" ht="34.5" customHeight="1" thickTop="1" thickBot="1" x14ac:dyDescent="0.3">
      <c r="B8" s="60" t="s">
        <v>95</v>
      </c>
      <c r="C8" s="55" t="s">
        <v>106</v>
      </c>
      <c r="D8" s="55" t="s">
        <v>101</v>
      </c>
      <c r="E8" s="54" t="s">
        <v>72</v>
      </c>
      <c r="F8" s="60" t="s">
        <v>73</v>
      </c>
      <c r="G8" s="55" t="s">
        <v>76</v>
      </c>
    </row>
    <row r="9" spans="1:7" ht="34.5" customHeight="1" thickTop="1" thickBot="1" x14ac:dyDescent="0.3">
      <c r="B9" s="61"/>
      <c r="C9" s="59" t="s">
        <v>74</v>
      </c>
      <c r="D9" s="59" t="s">
        <v>107</v>
      </c>
      <c r="E9" s="58" t="s">
        <v>107</v>
      </c>
      <c r="F9" s="61"/>
      <c r="G9" s="59" t="s">
        <v>105</v>
      </c>
    </row>
    <row r="10" spans="1:7" ht="32.25" customHeight="1" thickTop="1" x14ac:dyDescent="0.25">
      <c r="A10" s="50"/>
      <c r="B10" s="50"/>
      <c r="C10" s="50"/>
      <c r="D10" s="50"/>
      <c r="E10" s="50"/>
      <c r="F10" s="50"/>
      <c r="G10" s="50"/>
    </row>
    <row r="11" spans="1:7" ht="4.5" customHeight="1" x14ac:dyDescent="0.25">
      <c r="A11" s="51"/>
      <c r="B11" s="51"/>
      <c r="C11" s="51"/>
      <c r="D11" s="51"/>
      <c r="E11" s="51"/>
      <c r="F11" s="51"/>
      <c r="G11" s="51"/>
    </row>
    <row r="12" spans="1:7" ht="4.5" customHeight="1" x14ac:dyDescent="0.25">
      <c r="A12" s="52"/>
      <c r="B12" s="63"/>
      <c r="C12" s="63"/>
      <c r="D12" s="63"/>
      <c r="E12" s="63"/>
      <c r="F12" s="63"/>
      <c r="G12" s="63"/>
    </row>
    <row r="13" spans="1:7" ht="18.75" customHeight="1" thickBot="1" x14ac:dyDescent="0.3">
      <c r="A13" s="52" t="s">
        <v>71</v>
      </c>
      <c r="B13" s="64"/>
      <c r="C13" s="64"/>
      <c r="D13" s="64"/>
      <c r="E13" s="64"/>
      <c r="F13" s="64"/>
      <c r="G13" s="64"/>
    </row>
    <row r="14" spans="1:7" ht="27.75" customHeight="1" thickTop="1" thickBot="1" x14ac:dyDescent="0.3">
      <c r="A14" s="63"/>
      <c r="B14" s="65" t="s">
        <v>70</v>
      </c>
      <c r="C14" s="65" t="s">
        <v>103</v>
      </c>
      <c r="D14" s="65" t="s">
        <v>70</v>
      </c>
      <c r="E14" s="65" t="s">
        <v>102</v>
      </c>
      <c r="F14" s="65" t="s">
        <v>70</v>
      </c>
      <c r="G14" s="65" t="s">
        <v>103</v>
      </c>
    </row>
    <row r="15" spans="1:7" ht="27.75" customHeight="1" thickTop="1" thickBot="1" x14ac:dyDescent="0.3">
      <c r="A15" s="63"/>
      <c r="B15" s="65" t="s">
        <v>70</v>
      </c>
      <c r="C15" s="65" t="s">
        <v>70</v>
      </c>
      <c r="D15" s="65" t="s">
        <v>70</v>
      </c>
      <c r="E15" s="65" t="s">
        <v>70</v>
      </c>
      <c r="F15" s="65" t="s">
        <v>70</v>
      </c>
      <c r="G15" s="65" t="s">
        <v>70</v>
      </c>
    </row>
    <row r="16" spans="1:7" ht="27.75" customHeight="1" thickTop="1" thickBot="1" x14ac:dyDescent="0.3">
      <c r="A16" s="63"/>
      <c r="B16" s="65" t="s">
        <v>70</v>
      </c>
      <c r="C16" s="65" t="s">
        <v>70</v>
      </c>
      <c r="D16" s="65" t="s">
        <v>70</v>
      </c>
      <c r="E16" s="65" t="s">
        <v>70</v>
      </c>
      <c r="F16" s="65" t="s">
        <v>70</v>
      </c>
      <c r="G16" s="65" t="s">
        <v>70</v>
      </c>
    </row>
    <row r="17" spans="1:7" ht="27.75" customHeight="1" thickTop="1" thickBot="1" x14ac:dyDescent="0.3">
      <c r="A17" s="63"/>
      <c r="B17" s="65" t="s">
        <v>70</v>
      </c>
      <c r="C17" s="65" t="s">
        <v>70</v>
      </c>
      <c r="D17" s="65" t="s">
        <v>70</v>
      </c>
      <c r="E17" s="65" t="s">
        <v>102</v>
      </c>
      <c r="F17" s="65" t="s">
        <v>70</v>
      </c>
      <c r="G17" s="65" t="s">
        <v>70</v>
      </c>
    </row>
    <row r="18" spans="1:7" ht="27.75" customHeight="1" thickTop="1" thickBot="1" x14ac:dyDescent="0.3">
      <c r="A18" s="63"/>
      <c r="B18" s="65" t="s">
        <v>70</v>
      </c>
      <c r="C18" s="65" t="s">
        <v>70</v>
      </c>
      <c r="D18" s="65" t="s">
        <v>70</v>
      </c>
      <c r="E18" s="65" t="s">
        <v>102</v>
      </c>
      <c r="F18" s="65" t="s">
        <v>70</v>
      </c>
      <c r="G18" s="65" t="s">
        <v>70</v>
      </c>
    </row>
    <row r="19" spans="1:7" ht="27.75" customHeight="1" thickTop="1" thickBot="1" x14ac:dyDescent="0.3">
      <c r="A19" s="49"/>
      <c r="B19" s="65" t="s">
        <v>70</v>
      </c>
      <c r="C19" s="65" t="s">
        <v>70</v>
      </c>
      <c r="D19" s="65" t="s">
        <v>70</v>
      </c>
      <c r="E19" s="65" t="s">
        <v>102</v>
      </c>
      <c r="F19" s="65" t="s">
        <v>70</v>
      </c>
      <c r="G19" s="65" t="s">
        <v>70</v>
      </c>
    </row>
    <row r="20" spans="1:7" ht="13.15" thickTop="1" x14ac:dyDescent="0.25">
      <c r="A20" s="49"/>
    </row>
    <row r="21" spans="1:7" x14ac:dyDescent="0.25">
      <c r="A21" s="49"/>
    </row>
    <row r="22" spans="1:7" x14ac:dyDescent="0.25">
      <c r="A22" s="49"/>
    </row>
    <row r="23" spans="1:7" x14ac:dyDescent="0.25">
      <c r="A23" s="49"/>
    </row>
    <row r="27" spans="1:7" x14ac:dyDescent="0.25">
      <c r="A27" s="39"/>
    </row>
    <row r="28" spans="1:7" x14ac:dyDescent="0.25">
      <c r="A28" s="39"/>
    </row>
  </sheetData>
  <phoneticPr fontId="20"/>
  <conditionalFormatting sqref="B4:G19">
    <cfRule type="cellIs" dxfId="62" priority="21" stopIfTrue="1" operator="equal">
      <formula>"欠"</formula>
    </cfRule>
  </conditionalFormatting>
  <conditionalFormatting sqref="B4:G9">
    <cfRule type="cellIs" dxfId="61" priority="1" stopIfTrue="1" operator="notBetween">
      <formula>"A"</formula>
      <formula>"R"</formula>
    </cfRule>
    <cfRule type="cellIs" dxfId="60" priority="2" stopIfTrue="1" operator="equal">
      <formula>"R"</formula>
    </cfRule>
    <cfRule type="cellIs" dxfId="59" priority="3" stopIfTrue="1" operator="equal">
      <formula>"Q"</formula>
    </cfRule>
    <cfRule type="cellIs" dxfId="58" priority="4" stopIfTrue="1" operator="equal">
      <formula>"P"</formula>
    </cfRule>
    <cfRule type="cellIs" dxfId="57" priority="5" stopIfTrue="1" operator="equal">
      <formula>"O"</formula>
    </cfRule>
    <cfRule type="cellIs" dxfId="56" priority="6" stopIfTrue="1" operator="equal">
      <formula>"N"</formula>
    </cfRule>
    <cfRule type="cellIs" dxfId="55" priority="7" stopIfTrue="1" operator="equal">
      <formula>"M"</formula>
    </cfRule>
    <cfRule type="cellIs" dxfId="54" priority="8" stopIfTrue="1" operator="equal">
      <formula>"L"</formula>
    </cfRule>
    <cfRule type="cellIs" dxfId="53" priority="9" stopIfTrue="1" operator="equal">
      <formula>"K"</formula>
    </cfRule>
    <cfRule type="cellIs" dxfId="52" priority="10" stopIfTrue="1" operator="equal">
      <formula>"J"</formula>
    </cfRule>
    <cfRule type="cellIs" dxfId="51" priority="11" stopIfTrue="1" operator="equal">
      <formula>"I"</formula>
    </cfRule>
    <cfRule type="cellIs" dxfId="50" priority="12" stopIfTrue="1" operator="equal">
      <formula>"H"</formula>
    </cfRule>
    <cfRule type="cellIs" dxfId="49" priority="13" stopIfTrue="1" operator="equal">
      <formula>"G"</formula>
    </cfRule>
    <cfRule type="cellIs" dxfId="48" priority="14" stopIfTrue="1" operator="equal">
      <formula>"F"</formula>
    </cfRule>
    <cfRule type="cellIs" dxfId="47" priority="15" stopIfTrue="1" operator="equal">
      <formula>"E"</formula>
    </cfRule>
    <cfRule type="cellIs" dxfId="46" priority="16" stopIfTrue="1" operator="equal">
      <formula>"D"</formula>
    </cfRule>
    <cfRule type="cellIs" dxfId="45" priority="17" stopIfTrue="1" operator="equal">
      <formula>"C"</formula>
    </cfRule>
    <cfRule type="cellIs" dxfId="44" priority="18" stopIfTrue="1" operator="equal">
      <formula>"B"</formula>
    </cfRule>
    <cfRule type="cellIs" dxfId="43" priority="19" stopIfTrue="1" operator="equal">
      <formula>"A"</formula>
    </cfRule>
    <cfRule type="cellIs" dxfId="42" priority="20" stopIfTrue="1" operator="equal">
      <formula>" "</formula>
    </cfRule>
  </conditionalFormatting>
  <dataValidations count="1">
    <dataValidation type="list" allowBlank="1" showInputMessage="1" showErrorMessage="1" sqref="B13:G19" xr:uid="{00000000-0002-0000-0700-000000000000}">
      <formula1>"出,欠"</formula1>
    </dataValidation>
  </dataValidations>
  <pageMargins left="0.7" right="0.7" top="0.75" bottom="0.75" header="0.3" footer="0.3"/>
  <pageSetup paperSize="8" orientation="landscape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5777" r:id="rId4" name="CommandButton1">
          <controlPr defaultSize="0" autoLine="0" r:id="rId5">
            <anchor moveWithCells="1">
              <from>
                <xdr:col>7</xdr:col>
                <xdr:colOff>233363</xdr:colOff>
                <xdr:row>1</xdr:row>
                <xdr:rowOff>19050</xdr:rowOff>
              </from>
              <to>
                <xdr:col>8</xdr:col>
                <xdr:colOff>395288</xdr:colOff>
                <xdr:row>3</xdr:row>
                <xdr:rowOff>76200</xdr:rowOff>
              </to>
            </anchor>
          </controlPr>
        </control>
      </mc:Choice>
      <mc:Fallback>
        <control shapeId="75777" r:id="rId4" name="CommandButton1"/>
      </mc:Fallback>
    </mc:AlternateContent>
    <mc:AlternateContent xmlns:mc="http://schemas.openxmlformats.org/markup-compatibility/2006">
      <mc:Choice Requires="x14">
        <control shapeId="75778" r:id="rId6" name="CommandButton2">
          <controlPr defaultSize="0" autoLine="0" r:id="rId7">
            <anchor moveWithCells="1">
              <from>
                <xdr:col>7</xdr:col>
                <xdr:colOff>233363</xdr:colOff>
                <xdr:row>3</xdr:row>
                <xdr:rowOff>133350</xdr:rowOff>
              </from>
              <to>
                <xdr:col>8</xdr:col>
                <xdr:colOff>395288</xdr:colOff>
                <xdr:row>4</xdr:row>
                <xdr:rowOff>38100</xdr:rowOff>
              </to>
            </anchor>
          </controlPr>
        </control>
      </mc:Choice>
      <mc:Fallback>
        <control shapeId="75778" r:id="rId6" name="CommandButton2"/>
      </mc:Fallback>
    </mc:AlternateContent>
    <mc:AlternateContent xmlns:mc="http://schemas.openxmlformats.org/markup-compatibility/2006">
      <mc:Choice Requires="x14">
        <control shapeId="75779" r:id="rId8" name="CommandButton3">
          <controlPr defaultSize="0" autoLine="0" r:id="rId9">
            <anchor moveWithCells="1">
              <from>
                <xdr:col>7</xdr:col>
                <xdr:colOff>233363</xdr:colOff>
                <xdr:row>4</xdr:row>
                <xdr:rowOff>104775</xdr:rowOff>
              </from>
              <to>
                <xdr:col>8</xdr:col>
                <xdr:colOff>395288</xdr:colOff>
                <xdr:row>5</xdr:row>
                <xdr:rowOff>9525</xdr:rowOff>
              </to>
            </anchor>
          </controlPr>
        </control>
      </mc:Choice>
      <mc:Fallback>
        <control shapeId="75779" r:id="rId8" name="CommandButton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G28"/>
  <sheetViews>
    <sheetView showGridLines="0" showRowColHeaders="0" zoomScale="190" zoomScaleNormal="190" workbookViewId="0">
      <selection activeCell="B10" sqref="B10"/>
    </sheetView>
  </sheetViews>
  <sheetFormatPr defaultRowHeight="12.75" x14ac:dyDescent="0.25"/>
  <cols>
    <col min="1" max="1" width="4.3984375" customWidth="1"/>
    <col min="2" max="7" width="10.46484375" customWidth="1"/>
  </cols>
  <sheetData>
    <row r="1" spans="1:7" ht="11.25" customHeight="1" x14ac:dyDescent="0.25"/>
    <row r="2" spans="1:7" ht="11.25" customHeight="1" x14ac:dyDescent="0.25">
      <c r="C2" s="53"/>
    </row>
    <row r="3" spans="1:7" ht="11.25" customHeight="1" thickBot="1" x14ac:dyDescent="0.3"/>
    <row r="4" spans="1:7" ht="34.5" customHeight="1" thickTop="1" thickBot="1" x14ac:dyDescent="0.3">
      <c r="A4" s="48"/>
      <c r="B4" s="60" t="s">
        <v>72</v>
      </c>
      <c r="C4" s="55" t="s">
        <v>73</v>
      </c>
      <c r="D4" s="55" t="s">
        <v>96</v>
      </c>
      <c r="E4" s="54" t="s">
        <v>75</v>
      </c>
      <c r="F4" s="60" t="s">
        <v>105</v>
      </c>
      <c r="G4" s="55" t="s">
        <v>76</v>
      </c>
    </row>
    <row r="5" spans="1:7" ht="34.5" customHeight="1" thickTop="1" thickBot="1" x14ac:dyDescent="0.3">
      <c r="B5" s="60" t="s">
        <v>96</v>
      </c>
      <c r="C5" s="55" t="s">
        <v>99</v>
      </c>
      <c r="D5" s="55" t="s">
        <v>98</v>
      </c>
      <c r="E5" s="54" t="s">
        <v>98</v>
      </c>
      <c r="F5" s="60" t="s">
        <v>108</v>
      </c>
      <c r="G5" s="55" t="s">
        <v>75</v>
      </c>
    </row>
    <row r="6" spans="1:7" ht="34.5" customHeight="1" thickTop="1" thickBot="1" x14ac:dyDescent="0.3">
      <c r="B6" s="61" t="s">
        <v>100</v>
      </c>
      <c r="C6" s="59" t="s">
        <v>97</v>
      </c>
      <c r="D6" s="59" t="s">
        <v>100</v>
      </c>
      <c r="E6" s="58" t="s">
        <v>74</v>
      </c>
      <c r="F6" s="61" t="s">
        <v>104</v>
      </c>
      <c r="G6" s="59" t="s">
        <v>95</v>
      </c>
    </row>
    <row r="7" spans="1:7" ht="34.5" customHeight="1" thickTop="1" thickBot="1" x14ac:dyDescent="0.3">
      <c r="B7" s="62" t="s">
        <v>106</v>
      </c>
      <c r="C7" s="57" t="s">
        <v>99</v>
      </c>
      <c r="D7" s="57" t="s">
        <v>104</v>
      </c>
      <c r="E7" s="56" t="s">
        <v>108</v>
      </c>
      <c r="F7" s="62" t="s">
        <v>101</v>
      </c>
      <c r="G7" s="57" t="s">
        <v>97</v>
      </c>
    </row>
    <row r="8" spans="1:7" ht="34.5" customHeight="1" thickTop="1" thickBot="1" x14ac:dyDescent="0.3">
      <c r="B8" s="60" t="s">
        <v>95</v>
      </c>
      <c r="C8" s="55" t="s">
        <v>106</v>
      </c>
      <c r="D8" s="55" t="s">
        <v>101</v>
      </c>
      <c r="E8" s="54" t="s">
        <v>72</v>
      </c>
      <c r="F8" s="60" t="s">
        <v>73</v>
      </c>
      <c r="G8" s="55" t="s">
        <v>76</v>
      </c>
    </row>
    <row r="9" spans="1:7" ht="34.5" customHeight="1" thickTop="1" thickBot="1" x14ac:dyDescent="0.3">
      <c r="B9" s="61"/>
      <c r="C9" s="59" t="s">
        <v>74</v>
      </c>
      <c r="D9" s="59" t="s">
        <v>107</v>
      </c>
      <c r="E9" s="58" t="s">
        <v>107</v>
      </c>
      <c r="F9" s="61"/>
      <c r="G9" s="59" t="s">
        <v>105</v>
      </c>
    </row>
    <row r="10" spans="1:7" ht="32.25" customHeight="1" thickTop="1" x14ac:dyDescent="0.25">
      <c r="A10" s="50"/>
      <c r="B10" s="50"/>
      <c r="C10" s="50"/>
      <c r="D10" s="50"/>
      <c r="E10" s="50"/>
      <c r="F10" s="50"/>
      <c r="G10" s="50"/>
    </row>
    <row r="11" spans="1:7" ht="4.5" customHeight="1" x14ac:dyDescent="0.25">
      <c r="A11" s="51"/>
      <c r="B11" s="51"/>
      <c r="C11" s="51"/>
      <c r="D11" s="51"/>
      <c r="E11" s="51"/>
      <c r="F11" s="51"/>
      <c r="G11" s="51"/>
    </row>
    <row r="12" spans="1:7" ht="4.5" customHeight="1" x14ac:dyDescent="0.25">
      <c r="A12" s="52"/>
      <c r="B12" s="63"/>
      <c r="C12" s="63"/>
      <c r="D12" s="63"/>
      <c r="E12" s="63"/>
      <c r="F12" s="63"/>
      <c r="G12" s="63"/>
    </row>
    <row r="13" spans="1:7" ht="18.75" customHeight="1" thickBot="1" x14ac:dyDescent="0.3">
      <c r="A13" s="52" t="s">
        <v>71</v>
      </c>
      <c r="B13" s="64"/>
      <c r="C13" s="64"/>
      <c r="D13" s="64"/>
      <c r="E13" s="64"/>
      <c r="F13" s="64"/>
      <c r="G13" s="64"/>
    </row>
    <row r="14" spans="1:7" ht="27.75" customHeight="1" thickTop="1" thickBot="1" x14ac:dyDescent="0.3">
      <c r="A14" s="63"/>
      <c r="B14" s="65" t="s">
        <v>70</v>
      </c>
      <c r="C14" s="65" t="s">
        <v>103</v>
      </c>
      <c r="D14" s="65" t="s">
        <v>70</v>
      </c>
      <c r="E14" s="65" t="s">
        <v>102</v>
      </c>
      <c r="F14" s="65" t="s">
        <v>70</v>
      </c>
      <c r="G14" s="65" t="s">
        <v>103</v>
      </c>
    </row>
    <row r="15" spans="1:7" ht="27.75" customHeight="1" thickTop="1" thickBot="1" x14ac:dyDescent="0.3">
      <c r="A15" s="63"/>
      <c r="B15" s="65" t="s">
        <v>70</v>
      </c>
      <c r="C15" s="65" t="s">
        <v>70</v>
      </c>
      <c r="D15" s="65" t="s">
        <v>70</v>
      </c>
      <c r="E15" s="65" t="s">
        <v>70</v>
      </c>
      <c r="F15" s="65" t="s">
        <v>70</v>
      </c>
      <c r="G15" s="65" t="s">
        <v>70</v>
      </c>
    </row>
    <row r="16" spans="1:7" ht="27.75" customHeight="1" thickTop="1" thickBot="1" x14ac:dyDescent="0.3">
      <c r="A16" s="63"/>
      <c r="B16" s="65" t="s">
        <v>70</v>
      </c>
      <c r="C16" s="65" t="s">
        <v>70</v>
      </c>
      <c r="D16" s="65" t="s">
        <v>70</v>
      </c>
      <c r="E16" s="65" t="s">
        <v>70</v>
      </c>
      <c r="F16" s="65" t="s">
        <v>70</v>
      </c>
      <c r="G16" s="65" t="s">
        <v>70</v>
      </c>
    </row>
    <row r="17" spans="1:7" ht="27.75" customHeight="1" thickTop="1" thickBot="1" x14ac:dyDescent="0.3">
      <c r="A17" s="63"/>
      <c r="B17" s="65" t="s">
        <v>70</v>
      </c>
      <c r="C17" s="65" t="s">
        <v>70</v>
      </c>
      <c r="D17" s="65" t="s">
        <v>70</v>
      </c>
      <c r="E17" s="65" t="s">
        <v>102</v>
      </c>
      <c r="F17" s="65" t="s">
        <v>70</v>
      </c>
      <c r="G17" s="65" t="s">
        <v>70</v>
      </c>
    </row>
    <row r="18" spans="1:7" ht="27.75" customHeight="1" thickTop="1" thickBot="1" x14ac:dyDescent="0.3">
      <c r="A18" s="63"/>
      <c r="B18" s="65" t="s">
        <v>70</v>
      </c>
      <c r="C18" s="65" t="s">
        <v>70</v>
      </c>
      <c r="D18" s="65" t="s">
        <v>70</v>
      </c>
      <c r="E18" s="65" t="s">
        <v>102</v>
      </c>
      <c r="F18" s="65" t="s">
        <v>70</v>
      </c>
      <c r="G18" s="65" t="s">
        <v>70</v>
      </c>
    </row>
    <row r="19" spans="1:7" ht="27.75" customHeight="1" thickTop="1" thickBot="1" x14ac:dyDescent="0.3">
      <c r="A19" s="49"/>
      <c r="B19" s="65" t="s">
        <v>70</v>
      </c>
      <c r="C19" s="65" t="s">
        <v>70</v>
      </c>
      <c r="D19" s="65" t="s">
        <v>70</v>
      </c>
      <c r="E19" s="65" t="s">
        <v>102</v>
      </c>
      <c r="F19" s="65" t="s">
        <v>70</v>
      </c>
      <c r="G19" s="65" t="s">
        <v>70</v>
      </c>
    </row>
    <row r="20" spans="1:7" ht="13.15" thickTop="1" x14ac:dyDescent="0.25">
      <c r="A20" s="49"/>
    </row>
    <row r="21" spans="1:7" x14ac:dyDescent="0.25">
      <c r="A21" s="49"/>
    </row>
    <row r="22" spans="1:7" x14ac:dyDescent="0.25">
      <c r="A22" s="49"/>
    </row>
    <row r="23" spans="1:7" x14ac:dyDescent="0.25">
      <c r="A23" s="49"/>
    </row>
    <row r="27" spans="1:7" x14ac:dyDescent="0.25">
      <c r="A27" s="39"/>
    </row>
    <row r="28" spans="1:7" x14ac:dyDescent="0.25">
      <c r="A28" s="39"/>
    </row>
  </sheetData>
  <phoneticPr fontId="20"/>
  <conditionalFormatting sqref="B4:G19">
    <cfRule type="cellIs" dxfId="41" priority="21" stopIfTrue="1" operator="equal">
      <formula>"欠"</formula>
    </cfRule>
  </conditionalFormatting>
  <conditionalFormatting sqref="B4:G9">
    <cfRule type="cellIs" dxfId="40" priority="1" stopIfTrue="1" operator="notBetween">
      <formula>"A"</formula>
      <formula>"R"</formula>
    </cfRule>
    <cfRule type="cellIs" dxfId="39" priority="2" stopIfTrue="1" operator="equal">
      <formula>"R"</formula>
    </cfRule>
    <cfRule type="cellIs" dxfId="38" priority="3" stopIfTrue="1" operator="equal">
      <formula>"Q"</formula>
    </cfRule>
    <cfRule type="cellIs" dxfId="37" priority="4" stopIfTrue="1" operator="equal">
      <formula>"P"</formula>
    </cfRule>
    <cfRule type="cellIs" dxfId="36" priority="5" stopIfTrue="1" operator="equal">
      <formula>"O"</formula>
    </cfRule>
    <cfRule type="cellIs" dxfId="35" priority="6" stopIfTrue="1" operator="equal">
      <formula>"N"</formula>
    </cfRule>
    <cfRule type="cellIs" dxfId="34" priority="7" stopIfTrue="1" operator="equal">
      <formula>"M"</formula>
    </cfRule>
    <cfRule type="cellIs" dxfId="33" priority="8" stopIfTrue="1" operator="equal">
      <formula>"L"</formula>
    </cfRule>
    <cfRule type="cellIs" dxfId="32" priority="9" stopIfTrue="1" operator="equal">
      <formula>"K"</formula>
    </cfRule>
    <cfRule type="cellIs" dxfId="31" priority="10" stopIfTrue="1" operator="equal">
      <formula>"J"</formula>
    </cfRule>
    <cfRule type="cellIs" dxfId="30" priority="11" stopIfTrue="1" operator="equal">
      <formula>"I"</formula>
    </cfRule>
    <cfRule type="cellIs" dxfId="29" priority="12" stopIfTrue="1" operator="equal">
      <formula>"H"</formula>
    </cfRule>
    <cfRule type="cellIs" dxfId="28" priority="13" stopIfTrue="1" operator="equal">
      <formula>"G"</formula>
    </cfRule>
    <cfRule type="cellIs" dxfId="27" priority="14" stopIfTrue="1" operator="equal">
      <formula>"F"</formula>
    </cfRule>
    <cfRule type="cellIs" dxfId="26" priority="15" stopIfTrue="1" operator="equal">
      <formula>"E"</formula>
    </cfRule>
    <cfRule type="cellIs" dxfId="25" priority="16" stopIfTrue="1" operator="equal">
      <formula>"D"</formula>
    </cfRule>
    <cfRule type="cellIs" dxfId="24" priority="17" stopIfTrue="1" operator="equal">
      <formula>"C"</formula>
    </cfRule>
    <cfRule type="cellIs" dxfId="23" priority="18" stopIfTrue="1" operator="equal">
      <formula>"B"</formula>
    </cfRule>
    <cfRule type="cellIs" dxfId="22" priority="19" stopIfTrue="1" operator="equal">
      <formula>"A"</formula>
    </cfRule>
    <cfRule type="cellIs" dxfId="21" priority="20" stopIfTrue="1" operator="equal">
      <formula>" "</formula>
    </cfRule>
  </conditionalFormatting>
  <dataValidations count="1">
    <dataValidation type="list" allowBlank="1" showInputMessage="1" showErrorMessage="1" sqref="B13:G19" xr:uid="{00000000-0002-0000-0800-000000000000}">
      <formula1>"出,欠"</formula1>
    </dataValidation>
  </dataValidations>
  <pageMargins left="0.7" right="0.7" top="0.75" bottom="0.75" header="0.3" footer="0.3"/>
  <pageSetup paperSize="8" orientation="landscape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6801" r:id="rId4" name="CommandButton1">
          <controlPr defaultSize="0" autoLine="0" r:id="rId5">
            <anchor moveWithCells="1">
              <from>
                <xdr:col>7</xdr:col>
                <xdr:colOff>233363</xdr:colOff>
                <xdr:row>1</xdr:row>
                <xdr:rowOff>19050</xdr:rowOff>
              </from>
              <to>
                <xdr:col>8</xdr:col>
                <xdr:colOff>395288</xdr:colOff>
                <xdr:row>3</xdr:row>
                <xdr:rowOff>76200</xdr:rowOff>
              </to>
            </anchor>
          </controlPr>
        </control>
      </mc:Choice>
      <mc:Fallback>
        <control shapeId="76801" r:id="rId4" name="CommandButton1"/>
      </mc:Fallback>
    </mc:AlternateContent>
    <mc:AlternateContent xmlns:mc="http://schemas.openxmlformats.org/markup-compatibility/2006">
      <mc:Choice Requires="x14">
        <control shapeId="76802" r:id="rId6" name="CommandButton2">
          <controlPr defaultSize="0" autoLine="0" r:id="rId7">
            <anchor moveWithCells="1">
              <from>
                <xdr:col>7</xdr:col>
                <xdr:colOff>233363</xdr:colOff>
                <xdr:row>3</xdr:row>
                <xdr:rowOff>133350</xdr:rowOff>
              </from>
              <to>
                <xdr:col>8</xdr:col>
                <xdr:colOff>395288</xdr:colOff>
                <xdr:row>4</xdr:row>
                <xdr:rowOff>38100</xdr:rowOff>
              </to>
            </anchor>
          </controlPr>
        </control>
      </mc:Choice>
      <mc:Fallback>
        <control shapeId="76802" r:id="rId6" name="CommandButton2"/>
      </mc:Fallback>
    </mc:AlternateContent>
    <mc:AlternateContent xmlns:mc="http://schemas.openxmlformats.org/markup-compatibility/2006">
      <mc:Choice Requires="x14">
        <control shapeId="76803" r:id="rId8" name="CommandButton3">
          <controlPr defaultSize="0" autoLine="0" r:id="rId9">
            <anchor moveWithCells="1">
              <from>
                <xdr:col>7</xdr:col>
                <xdr:colOff>233363</xdr:colOff>
                <xdr:row>4</xdr:row>
                <xdr:rowOff>104775</xdr:rowOff>
              </from>
              <to>
                <xdr:col>8</xdr:col>
                <xdr:colOff>395288</xdr:colOff>
                <xdr:row>5</xdr:row>
                <xdr:rowOff>9525</xdr:rowOff>
              </to>
            </anchor>
          </controlPr>
        </control>
      </mc:Choice>
      <mc:Fallback>
        <control shapeId="76803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8"/>
  <sheetViews>
    <sheetView showGridLines="0" showRowColHeaders="0" zoomScale="280" zoomScaleNormal="24" workbookViewId="0">
      <selection activeCell="B6" sqref="B6"/>
    </sheetView>
  </sheetViews>
  <sheetFormatPr defaultRowHeight="12.75" x14ac:dyDescent="0.25"/>
  <cols>
    <col min="1" max="1" width="2.1328125" customWidth="1"/>
    <col min="2" max="5" width="10.46484375" customWidth="1"/>
    <col min="6" max="7" width="0.73046875" customWidth="1"/>
    <col min="8" max="9" width="9" customWidth="1"/>
  </cols>
  <sheetData>
    <row r="1" spans="1:7" ht="11.25" customHeight="1" x14ac:dyDescent="0.25"/>
    <row r="2" spans="1:7" ht="11.25" customHeight="1" x14ac:dyDescent="0.25">
      <c r="C2" s="53"/>
    </row>
    <row r="3" spans="1:7" ht="11.25" customHeight="1" thickBot="1" x14ac:dyDescent="0.3">
      <c r="B3" s="67"/>
      <c r="C3" s="67"/>
      <c r="D3" s="67"/>
      <c r="E3" s="67"/>
    </row>
    <row r="4" spans="1:7" ht="34.5" customHeight="1" thickTop="1" thickBot="1" x14ac:dyDescent="0.3">
      <c r="A4" s="68"/>
      <c r="B4" s="59" t="s">
        <v>74</v>
      </c>
      <c r="C4" s="59" t="s">
        <v>97</v>
      </c>
      <c r="D4" s="59" t="s">
        <v>75</v>
      </c>
      <c r="E4" s="61" t="s">
        <v>74</v>
      </c>
      <c r="F4" s="66"/>
      <c r="G4" s="66"/>
    </row>
    <row r="5" spans="1:7" ht="34.5" customHeight="1" thickTop="1" thickBot="1" x14ac:dyDescent="0.3">
      <c r="A5" s="69"/>
      <c r="B5" s="55" t="s">
        <v>76</v>
      </c>
      <c r="C5" s="55" t="s">
        <v>97</v>
      </c>
      <c r="D5" s="55" t="s">
        <v>75</v>
      </c>
      <c r="E5" s="60" t="s">
        <v>95</v>
      </c>
      <c r="F5" s="66"/>
      <c r="G5" s="66"/>
    </row>
    <row r="6" spans="1:7" ht="34.5" customHeight="1" thickTop="1" thickBot="1" x14ac:dyDescent="0.3">
      <c r="A6" s="69"/>
      <c r="B6" s="59" t="s">
        <v>96</v>
      </c>
      <c r="C6" s="59" t="s">
        <v>73</v>
      </c>
      <c r="D6" s="59" t="s">
        <v>73</v>
      </c>
      <c r="E6" s="61" t="s">
        <v>95</v>
      </c>
      <c r="F6" s="66"/>
      <c r="G6" s="66"/>
    </row>
    <row r="7" spans="1:7" ht="34.5" customHeight="1" thickTop="1" thickBot="1" x14ac:dyDescent="0.3">
      <c r="A7" s="69"/>
      <c r="B7" s="55" t="s">
        <v>72</v>
      </c>
      <c r="C7" s="55" t="s">
        <v>72</v>
      </c>
      <c r="D7" s="60" t="s">
        <v>96</v>
      </c>
      <c r="E7" s="60" t="s">
        <v>76</v>
      </c>
      <c r="F7" s="66"/>
      <c r="G7" s="66"/>
    </row>
    <row r="8" spans="1:7" ht="34.5" customHeight="1" thickTop="1" x14ac:dyDescent="0.25">
      <c r="B8" s="66"/>
      <c r="C8" s="66"/>
      <c r="D8" s="66"/>
      <c r="E8" s="66"/>
      <c r="F8" s="66"/>
      <c r="G8" s="66"/>
    </row>
    <row r="9" spans="1:7" ht="34.5" customHeight="1" x14ac:dyDescent="0.25">
      <c r="B9" s="66"/>
      <c r="C9" s="66"/>
      <c r="D9" s="66"/>
      <c r="E9" s="66"/>
      <c r="F9" s="66"/>
      <c r="G9" s="66"/>
    </row>
    <row r="10" spans="1:7" ht="32.25" customHeight="1" x14ac:dyDescent="0.25">
      <c r="A10" s="50"/>
      <c r="B10" s="50"/>
      <c r="C10" s="50"/>
      <c r="D10" s="50"/>
      <c r="E10" s="50"/>
      <c r="F10" s="50"/>
      <c r="G10" s="50"/>
    </row>
    <row r="11" spans="1:7" ht="4.5" customHeight="1" x14ac:dyDescent="0.25">
      <c r="A11" s="51"/>
      <c r="B11" s="51"/>
      <c r="C11" s="51"/>
      <c r="D11" s="51"/>
      <c r="E11" s="51"/>
      <c r="F11" s="51"/>
      <c r="G11" s="51"/>
    </row>
    <row r="12" spans="1:7" ht="4.5" customHeight="1" x14ac:dyDescent="0.25">
      <c r="A12" s="52"/>
      <c r="B12" s="63"/>
      <c r="C12" s="63"/>
      <c r="D12" s="63"/>
      <c r="E12" s="63"/>
      <c r="F12" s="63"/>
      <c r="G12" s="63"/>
    </row>
    <row r="13" spans="1:7" ht="18.75" customHeight="1" thickBot="1" x14ac:dyDescent="0.3">
      <c r="A13" s="52" t="s">
        <v>71</v>
      </c>
      <c r="B13" s="64"/>
      <c r="C13" s="64"/>
      <c r="D13" s="64"/>
      <c r="E13" s="64"/>
      <c r="F13" s="64"/>
      <c r="G13" s="64"/>
    </row>
    <row r="14" spans="1:7" ht="7.5" customHeight="1" thickTop="1" thickBot="1" x14ac:dyDescent="0.3">
      <c r="A14" s="63"/>
      <c r="B14" s="65"/>
      <c r="C14" s="65"/>
      <c r="D14" s="65"/>
      <c r="E14" s="65"/>
      <c r="F14" s="65"/>
      <c r="G14" s="65"/>
    </row>
    <row r="15" spans="1:7" ht="7.5" customHeight="1" thickTop="1" thickBot="1" x14ac:dyDescent="0.3">
      <c r="A15" s="63"/>
      <c r="B15" s="65"/>
      <c r="C15" s="65"/>
      <c r="D15" s="65"/>
      <c r="E15" s="65"/>
      <c r="F15" s="65"/>
      <c r="G15" s="65"/>
    </row>
    <row r="16" spans="1:7" ht="27.75" customHeight="1" thickTop="1" thickBot="1" x14ac:dyDescent="0.3">
      <c r="A16" s="63"/>
      <c r="B16" s="65"/>
      <c r="C16" s="65"/>
      <c r="D16" s="65" t="s">
        <v>70</v>
      </c>
      <c r="E16" s="65" t="s">
        <v>70</v>
      </c>
      <c r="F16" s="65" t="s">
        <v>70</v>
      </c>
      <c r="G16" s="65" t="s">
        <v>70</v>
      </c>
    </row>
    <row r="17" spans="1:7" ht="27.75" customHeight="1" thickTop="1" thickBot="1" x14ac:dyDescent="0.3">
      <c r="A17" s="63"/>
      <c r="B17" s="65"/>
      <c r="C17" s="65"/>
      <c r="D17" s="65" t="s">
        <v>70</v>
      </c>
      <c r="E17" s="65" t="s">
        <v>102</v>
      </c>
      <c r="F17" s="65" t="s">
        <v>70</v>
      </c>
      <c r="G17" s="65" t="s">
        <v>70</v>
      </c>
    </row>
    <row r="18" spans="1:7" ht="27.75" customHeight="1" thickTop="1" thickBot="1" x14ac:dyDescent="0.3">
      <c r="A18" s="63"/>
      <c r="B18" s="65"/>
      <c r="C18" s="65"/>
      <c r="D18" s="65" t="s">
        <v>70</v>
      </c>
      <c r="E18" s="65" t="s">
        <v>102</v>
      </c>
      <c r="F18" s="65" t="s">
        <v>70</v>
      </c>
      <c r="G18" s="65" t="s">
        <v>70</v>
      </c>
    </row>
    <row r="19" spans="1:7" ht="27.75" customHeight="1" thickTop="1" thickBot="1" x14ac:dyDescent="0.3">
      <c r="A19" s="49"/>
      <c r="B19" s="65"/>
      <c r="C19" s="65"/>
      <c r="D19" s="65" t="s">
        <v>70</v>
      </c>
      <c r="E19" s="65" t="s">
        <v>102</v>
      </c>
      <c r="F19" s="65" t="s">
        <v>70</v>
      </c>
      <c r="G19" s="65" t="s">
        <v>70</v>
      </c>
    </row>
    <row r="20" spans="1:7" ht="13.15" thickTop="1" x14ac:dyDescent="0.25">
      <c r="A20" s="49"/>
    </row>
    <row r="21" spans="1:7" x14ac:dyDescent="0.25">
      <c r="A21" s="49"/>
    </row>
    <row r="22" spans="1:7" x14ac:dyDescent="0.25">
      <c r="A22" s="49"/>
    </row>
    <row r="23" spans="1:7" x14ac:dyDescent="0.25">
      <c r="A23" s="49"/>
    </row>
    <row r="27" spans="1:7" x14ac:dyDescent="0.25">
      <c r="A27" s="39"/>
    </row>
    <row r="28" spans="1:7" x14ac:dyDescent="0.25">
      <c r="A28" s="39"/>
    </row>
  </sheetData>
  <phoneticPr fontId="20"/>
  <conditionalFormatting sqref="B4:E7 B10:G19">
    <cfRule type="cellIs" dxfId="20" priority="21" stopIfTrue="1" operator="equal">
      <formula>"欠"</formula>
    </cfRule>
  </conditionalFormatting>
  <conditionalFormatting sqref="B4:E7">
    <cfRule type="cellIs" dxfId="19" priority="1" stopIfTrue="1" operator="notBetween">
      <formula>"A"</formula>
      <formula>"R"</formula>
    </cfRule>
    <cfRule type="cellIs" dxfId="18" priority="2" stopIfTrue="1" operator="equal">
      <formula>"R"</formula>
    </cfRule>
    <cfRule type="cellIs" dxfId="17" priority="3" stopIfTrue="1" operator="equal">
      <formula>"Q"</formula>
    </cfRule>
    <cfRule type="cellIs" dxfId="16" priority="4" stopIfTrue="1" operator="equal">
      <formula>"P"</formula>
    </cfRule>
    <cfRule type="cellIs" dxfId="15" priority="5" stopIfTrue="1" operator="equal">
      <formula>"O"</formula>
    </cfRule>
    <cfRule type="cellIs" dxfId="14" priority="6" stopIfTrue="1" operator="equal">
      <formula>"N"</formula>
    </cfRule>
    <cfRule type="cellIs" dxfId="13" priority="7" stopIfTrue="1" operator="equal">
      <formula>"M"</formula>
    </cfRule>
    <cfRule type="cellIs" dxfId="12" priority="8" stopIfTrue="1" operator="equal">
      <formula>"L"</formula>
    </cfRule>
    <cfRule type="cellIs" dxfId="11" priority="9" stopIfTrue="1" operator="equal">
      <formula>"K"</formula>
    </cfRule>
    <cfRule type="cellIs" dxfId="10" priority="10" stopIfTrue="1" operator="equal">
      <formula>"J"</formula>
    </cfRule>
    <cfRule type="cellIs" dxfId="9" priority="11" stopIfTrue="1" operator="equal">
      <formula>"I"</formula>
    </cfRule>
    <cfRule type="cellIs" dxfId="8" priority="12" stopIfTrue="1" operator="equal">
      <formula>"H"</formula>
    </cfRule>
    <cfRule type="cellIs" dxfId="7" priority="13" stopIfTrue="1" operator="equal">
      <formula>"G"</formula>
    </cfRule>
    <cfRule type="cellIs" dxfId="6" priority="14" stopIfTrue="1" operator="equal">
      <formula>"F"</formula>
    </cfRule>
    <cfRule type="cellIs" dxfId="5" priority="15" stopIfTrue="1" operator="equal">
      <formula>"E"</formula>
    </cfRule>
    <cfRule type="cellIs" dxfId="4" priority="16" stopIfTrue="1" operator="equal">
      <formula>"D"</formula>
    </cfRule>
    <cfRule type="cellIs" dxfId="3" priority="17" stopIfTrue="1" operator="equal">
      <formula>"C"</formula>
    </cfRule>
    <cfRule type="cellIs" dxfId="2" priority="18" stopIfTrue="1" operator="equal">
      <formula>"B"</formula>
    </cfRule>
    <cfRule type="cellIs" dxfId="1" priority="19" stopIfTrue="1" operator="equal">
      <formula>"A"</formula>
    </cfRule>
    <cfRule type="cellIs" dxfId="0" priority="20" stopIfTrue="1" operator="equal">
      <formula>" "</formula>
    </cfRule>
  </conditionalFormatting>
  <dataValidations count="1">
    <dataValidation type="list" allowBlank="1" showInputMessage="1" showErrorMessage="1" sqref="B13:G19" xr:uid="{00000000-0002-0000-0900-000000000000}">
      <formula1>"出,欠"</formula1>
    </dataValidation>
  </dataValidations>
  <pageMargins left="0.7" right="0.7" top="0.75" bottom="0.75" header="0.3" footer="0.3"/>
  <pageSetup paperSize="8" orientation="landscape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4753" r:id="rId4" name="CommandButton1">
          <controlPr defaultSize="0" autoLine="0" r:id="rId5">
            <anchor moveWithCells="1">
              <from>
                <xdr:col>7</xdr:col>
                <xdr:colOff>233363</xdr:colOff>
                <xdr:row>1</xdr:row>
                <xdr:rowOff>19050</xdr:rowOff>
              </from>
              <to>
                <xdr:col>8</xdr:col>
                <xdr:colOff>400050</xdr:colOff>
                <xdr:row>3</xdr:row>
                <xdr:rowOff>76200</xdr:rowOff>
              </to>
            </anchor>
          </controlPr>
        </control>
      </mc:Choice>
      <mc:Fallback>
        <control shapeId="74753" r:id="rId4" name="CommandButton1"/>
      </mc:Fallback>
    </mc:AlternateContent>
    <mc:AlternateContent xmlns:mc="http://schemas.openxmlformats.org/markup-compatibility/2006">
      <mc:Choice Requires="x14">
        <control shapeId="74754" r:id="rId6" name="CommandButton2">
          <controlPr defaultSize="0" autoLine="0" r:id="rId7">
            <anchor moveWithCells="1">
              <from>
                <xdr:col>7</xdr:col>
                <xdr:colOff>233363</xdr:colOff>
                <xdr:row>3</xdr:row>
                <xdr:rowOff>133350</xdr:rowOff>
              </from>
              <to>
                <xdr:col>8</xdr:col>
                <xdr:colOff>400050</xdr:colOff>
                <xdr:row>4</xdr:row>
                <xdr:rowOff>38100</xdr:rowOff>
              </to>
            </anchor>
          </controlPr>
        </control>
      </mc:Choice>
      <mc:Fallback>
        <control shapeId="74754" r:id="rId6" name="CommandButton2"/>
      </mc:Fallback>
    </mc:AlternateContent>
    <mc:AlternateContent xmlns:mc="http://schemas.openxmlformats.org/markup-compatibility/2006">
      <mc:Choice Requires="x14">
        <control shapeId="74755" r:id="rId8" name="CommandButton3">
          <controlPr defaultSize="0" autoLine="0" r:id="rId9">
            <anchor moveWithCells="1">
              <from>
                <xdr:col>7</xdr:col>
                <xdr:colOff>233363</xdr:colOff>
                <xdr:row>4</xdr:row>
                <xdr:rowOff>104775</xdr:rowOff>
              </from>
              <to>
                <xdr:col>8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74755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A18"/>
  <sheetViews>
    <sheetView workbookViewId="0">
      <selection activeCell="B16" sqref="B16"/>
    </sheetView>
  </sheetViews>
  <sheetFormatPr defaultRowHeight="12.75" x14ac:dyDescent="0.25"/>
  <cols>
    <col min="1" max="1" width="9" style="49" customWidth="1"/>
  </cols>
  <sheetData>
    <row r="1" spans="1:1" x14ac:dyDescent="0.25">
      <c r="A1" s="49" t="s">
        <v>77</v>
      </c>
    </row>
    <row r="2" spans="1:1" x14ac:dyDescent="0.25">
      <c r="A2" s="49" t="s">
        <v>78</v>
      </c>
    </row>
    <row r="3" spans="1:1" x14ac:dyDescent="0.25">
      <c r="A3" s="49" t="s">
        <v>79</v>
      </c>
    </row>
    <row r="4" spans="1:1" x14ac:dyDescent="0.25">
      <c r="A4" s="49" t="s">
        <v>80</v>
      </c>
    </row>
    <row r="5" spans="1:1" x14ac:dyDescent="0.25">
      <c r="A5" s="49" t="s">
        <v>81</v>
      </c>
    </row>
    <row r="6" spans="1:1" x14ac:dyDescent="0.25">
      <c r="A6" s="49" t="s">
        <v>82</v>
      </c>
    </row>
    <row r="7" spans="1:1" x14ac:dyDescent="0.25">
      <c r="A7" s="49" t="s">
        <v>83</v>
      </c>
    </row>
    <row r="8" spans="1:1" x14ac:dyDescent="0.25">
      <c r="A8" s="49" t="s">
        <v>84</v>
      </c>
    </row>
    <row r="9" spans="1:1" x14ac:dyDescent="0.25">
      <c r="A9" s="49" t="s">
        <v>85</v>
      </c>
    </row>
    <row r="10" spans="1:1" x14ac:dyDescent="0.25">
      <c r="A10" s="49" t="s">
        <v>86</v>
      </c>
    </row>
    <row r="11" spans="1:1" x14ac:dyDescent="0.25">
      <c r="A11" s="49" t="s">
        <v>87</v>
      </c>
    </row>
    <row r="12" spans="1:1" x14ac:dyDescent="0.25">
      <c r="A12" s="49" t="s">
        <v>88</v>
      </c>
    </row>
    <row r="13" spans="1:1" x14ac:dyDescent="0.25">
      <c r="A13" s="49" t="s">
        <v>89</v>
      </c>
    </row>
    <row r="14" spans="1:1" x14ac:dyDescent="0.25">
      <c r="A14" s="49" t="s">
        <v>90</v>
      </c>
    </row>
    <row r="15" spans="1:1" x14ac:dyDescent="0.25">
      <c r="A15" s="49" t="s">
        <v>91</v>
      </c>
    </row>
    <row r="16" spans="1:1" x14ac:dyDescent="0.25">
      <c r="A16" s="49" t="s">
        <v>92</v>
      </c>
    </row>
    <row r="17" spans="1:1" x14ac:dyDescent="0.25">
      <c r="A17" s="49" t="s">
        <v>93</v>
      </c>
    </row>
    <row r="18" spans="1:1" x14ac:dyDescent="0.25">
      <c r="A18" s="49" t="s">
        <v>94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17</vt:i4>
      </vt:variant>
    </vt:vector>
  </HeadingPairs>
  <TitlesOfParts>
    <vt:vector size="26" baseType="lpstr">
      <vt:lpstr>隠しフォーマット</vt:lpstr>
      <vt:lpstr>隠しシート</vt:lpstr>
      <vt:lpstr>隠しシート2</vt:lpstr>
      <vt:lpstr>抽出結果</vt:lpstr>
      <vt:lpstr>3-2</vt:lpstr>
      <vt:lpstr>3-3</vt:lpstr>
      <vt:lpstr>3-4</vt:lpstr>
      <vt:lpstr>4×4</vt:lpstr>
      <vt:lpstr>グループ設定</vt:lpstr>
      <vt:lpstr>抽出結果!Extract</vt:lpstr>
      <vt:lpstr>'3-2'!Print_Area</vt:lpstr>
      <vt:lpstr>'3-3'!Print_Area</vt:lpstr>
      <vt:lpstr>'3-4'!Print_Area</vt:lpstr>
      <vt:lpstr>'4×4'!Print_Area</vt:lpstr>
      <vt:lpstr>'3-3'!座席表</vt:lpstr>
      <vt:lpstr>'3-4'!座席表</vt:lpstr>
      <vt:lpstr>'4×4'!座席表</vt:lpstr>
      <vt:lpstr>座席表</vt:lpstr>
      <vt:lpstr>'3-3'!出欠</vt:lpstr>
      <vt:lpstr>'3-4'!出欠</vt:lpstr>
      <vt:lpstr>'4×4'!出欠</vt:lpstr>
      <vt:lpstr>出欠</vt:lpstr>
      <vt:lpstr>'3-3'!出欠表</vt:lpstr>
      <vt:lpstr>'3-4'!出欠表</vt:lpstr>
      <vt:lpstr>'4×4'!出欠表</vt:lpstr>
      <vt:lpstr>出欠表</vt:lpstr>
    </vt:vector>
  </TitlesOfParts>
  <Company>株式会社イーライン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kojima_m</dc:creator>
  <cp:lastModifiedBy>新庄収</cp:lastModifiedBy>
  <cp:lastPrinted>2012-04-24T09:00:02Z</cp:lastPrinted>
  <dcterms:created xsi:type="dcterms:W3CDTF">2009-12-25T08:27:23Z</dcterms:created>
  <dcterms:modified xsi:type="dcterms:W3CDTF">2019-06-20T14:35:15Z</dcterms:modified>
</cp:coreProperties>
</file>